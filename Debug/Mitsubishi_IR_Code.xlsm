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5" windowWidth="24915" windowHeight="12600"/>
  </bookViews>
  <sheets>
    <sheet name="Feuil1" sheetId="1" r:id="rId1"/>
    <sheet name="Feuil2" sheetId="2" r:id="rId2"/>
    <sheet name="Feuil3" sheetId="3" r:id="rId3"/>
    <sheet name="Feuil4" sheetId="4" r:id="rId4"/>
    <sheet name="Feuil5" sheetId="5" r:id="rId5"/>
  </sheets>
  <functionGroups builtInGroupCount="17"/>
  <calcPr calcId="145621"/>
</workbook>
</file>

<file path=xl/calcChain.xml><?xml version="1.0" encoding="utf-8"?>
<calcChain xmlns="http://schemas.openxmlformats.org/spreadsheetml/2006/main">
  <c r="BO75" i="1" l="1"/>
  <c r="BK81" i="1"/>
  <c r="BK74" i="1"/>
  <c r="BK73" i="1"/>
  <c r="BK72" i="1"/>
  <c r="BK71" i="1"/>
  <c r="BK70" i="1"/>
  <c r="BK69" i="1"/>
  <c r="H23" i="5"/>
  <c r="H24" i="5" s="1"/>
  <c r="H25" i="5" s="1"/>
  <c r="H3" i="5"/>
  <c r="H4" i="5" s="1"/>
  <c r="H5" i="5" s="1"/>
  <c r="H6" i="5" s="1"/>
  <c r="H7" i="5" s="1"/>
  <c r="H8" i="5" s="1"/>
  <c r="H9" i="5" s="1"/>
  <c r="H10" i="5" s="1"/>
  <c r="H11" i="5" s="1"/>
  <c r="H12" i="5" s="1"/>
  <c r="H13" i="5" s="1"/>
  <c r="H14" i="5" s="1"/>
  <c r="H15" i="5" s="1"/>
  <c r="H16" i="5" s="1"/>
  <c r="H17" i="5" s="1"/>
  <c r="H18" i="5" s="1"/>
  <c r="H19" i="5" s="1"/>
  <c r="H20" i="5" s="1"/>
  <c r="G5" i="5"/>
  <c r="G6" i="5"/>
  <c r="G7" i="5" s="1"/>
  <c r="G8" i="5" s="1"/>
  <c r="G9" i="5" s="1"/>
  <c r="G10" i="5" s="1"/>
  <c r="G11" i="5" s="1"/>
  <c r="G12" i="5" s="1"/>
  <c r="G13" i="5" s="1"/>
  <c r="G14" i="5" s="1"/>
  <c r="G15" i="5" s="1"/>
  <c r="G16" i="5" s="1"/>
  <c r="G17" i="5" s="1"/>
  <c r="G18" i="5" s="1"/>
  <c r="G19" i="5" s="1"/>
  <c r="G20" i="5" s="1"/>
  <c r="G3" i="5"/>
  <c r="G4" i="5"/>
  <c r="BD86" i="1"/>
  <c r="BC86" i="1"/>
  <c r="H66" i="1"/>
  <c r="I66" i="1"/>
  <c r="J66" i="1"/>
  <c r="K66" i="1"/>
  <c r="L66" i="1"/>
  <c r="M66" i="1"/>
  <c r="N66" i="1"/>
  <c r="O66" i="1"/>
  <c r="P66" i="1"/>
  <c r="Q66" i="1"/>
  <c r="R66" i="1"/>
  <c r="S66" i="1"/>
  <c r="T66" i="1"/>
  <c r="U66" i="1"/>
  <c r="V66" i="1"/>
  <c r="W66" i="1"/>
  <c r="X66" i="1"/>
  <c r="Y66" i="1"/>
  <c r="H67" i="1"/>
  <c r="I67" i="1"/>
  <c r="J67" i="1"/>
  <c r="K67" i="1"/>
  <c r="L67" i="1"/>
  <c r="M67" i="1"/>
  <c r="N67" i="1"/>
  <c r="O67" i="1"/>
  <c r="P67" i="1"/>
  <c r="Q67" i="1"/>
  <c r="R67" i="1"/>
  <c r="S67" i="1"/>
  <c r="T67" i="1"/>
  <c r="U67" i="1"/>
  <c r="V67" i="1"/>
  <c r="W67" i="1"/>
  <c r="X67" i="1"/>
  <c r="Y67" i="1"/>
  <c r="H68" i="1"/>
  <c r="I68" i="1"/>
  <c r="J68" i="1"/>
  <c r="K68" i="1"/>
  <c r="L68" i="1"/>
  <c r="M68" i="1"/>
  <c r="N68" i="1"/>
  <c r="O68" i="1"/>
  <c r="P68" i="1"/>
  <c r="Q68" i="1"/>
  <c r="R68" i="1"/>
  <c r="S68" i="1"/>
  <c r="T68" i="1"/>
  <c r="U68" i="1"/>
  <c r="V68" i="1"/>
  <c r="W68" i="1"/>
  <c r="X68" i="1"/>
  <c r="Y68" i="1"/>
  <c r="H69" i="1"/>
  <c r="I69" i="1"/>
  <c r="J69" i="1"/>
  <c r="K69" i="1"/>
  <c r="L69" i="1"/>
  <c r="M69" i="1"/>
  <c r="N69" i="1"/>
  <c r="O69" i="1"/>
  <c r="P69" i="1"/>
  <c r="Q69" i="1"/>
  <c r="R69" i="1"/>
  <c r="S69" i="1"/>
  <c r="T69" i="1"/>
  <c r="U69" i="1"/>
  <c r="V69" i="1"/>
  <c r="W69" i="1"/>
  <c r="X69" i="1"/>
  <c r="Y69" i="1"/>
  <c r="H70" i="1"/>
  <c r="I70" i="1"/>
  <c r="J70" i="1"/>
  <c r="K70" i="1"/>
  <c r="L70" i="1"/>
  <c r="M70" i="1"/>
  <c r="N70" i="1"/>
  <c r="O70" i="1"/>
  <c r="P70" i="1"/>
  <c r="Q70" i="1"/>
  <c r="R70" i="1"/>
  <c r="S70" i="1"/>
  <c r="T70" i="1"/>
  <c r="U70" i="1"/>
  <c r="V70" i="1"/>
  <c r="W70" i="1"/>
  <c r="X70" i="1"/>
  <c r="Y70" i="1"/>
  <c r="H71" i="1"/>
  <c r="I71" i="1"/>
  <c r="J71" i="1"/>
  <c r="K71" i="1"/>
  <c r="L71" i="1"/>
  <c r="M71" i="1"/>
  <c r="N71" i="1"/>
  <c r="O71" i="1"/>
  <c r="P71" i="1"/>
  <c r="Q71" i="1"/>
  <c r="R71" i="1"/>
  <c r="S71" i="1"/>
  <c r="T71" i="1"/>
  <c r="U71" i="1"/>
  <c r="V71" i="1"/>
  <c r="W71" i="1"/>
  <c r="X71" i="1"/>
  <c r="Y71" i="1"/>
  <c r="H72" i="1"/>
  <c r="I72" i="1"/>
  <c r="J72" i="1"/>
  <c r="K72" i="1"/>
  <c r="L72" i="1"/>
  <c r="M72" i="1"/>
  <c r="N72" i="1"/>
  <c r="O72" i="1"/>
  <c r="P72" i="1"/>
  <c r="Q72" i="1"/>
  <c r="R72" i="1"/>
  <c r="S72" i="1"/>
  <c r="T72" i="1"/>
  <c r="U72" i="1"/>
  <c r="V72" i="1"/>
  <c r="W72" i="1"/>
  <c r="X72" i="1"/>
  <c r="Y72" i="1"/>
  <c r="H73" i="1"/>
  <c r="I73" i="1"/>
  <c r="J73" i="1"/>
  <c r="K73" i="1"/>
  <c r="L73" i="1"/>
  <c r="M73" i="1"/>
  <c r="N73" i="1"/>
  <c r="O73" i="1"/>
  <c r="P73" i="1"/>
  <c r="Q73" i="1"/>
  <c r="R73" i="1"/>
  <c r="S73" i="1"/>
  <c r="T73" i="1"/>
  <c r="U73" i="1"/>
  <c r="V73" i="1"/>
  <c r="W73" i="1"/>
  <c r="X73" i="1"/>
  <c r="Y73" i="1"/>
  <c r="H74" i="1"/>
  <c r="I74" i="1"/>
  <c r="J74" i="1"/>
  <c r="K74" i="1"/>
  <c r="L74" i="1"/>
  <c r="M74" i="1"/>
  <c r="N74" i="1"/>
  <c r="O74" i="1"/>
  <c r="P74" i="1"/>
  <c r="Q74" i="1"/>
  <c r="R74" i="1"/>
  <c r="S74" i="1"/>
  <c r="T74" i="1"/>
  <c r="U74" i="1"/>
  <c r="V74" i="1"/>
  <c r="W74" i="1"/>
  <c r="X74" i="1"/>
  <c r="Y74" i="1"/>
  <c r="H75" i="1"/>
  <c r="I75" i="1"/>
  <c r="J75" i="1"/>
  <c r="K75" i="1"/>
  <c r="L75" i="1"/>
  <c r="M75" i="1"/>
  <c r="N75" i="1"/>
  <c r="O75" i="1"/>
  <c r="P75" i="1"/>
  <c r="Q75" i="1"/>
  <c r="R75" i="1"/>
  <c r="S75" i="1"/>
  <c r="T75" i="1"/>
  <c r="U75" i="1"/>
  <c r="V75" i="1"/>
  <c r="W75" i="1"/>
  <c r="X75" i="1"/>
  <c r="Y75" i="1"/>
  <c r="H76" i="1"/>
  <c r="I76" i="1"/>
  <c r="J76" i="1"/>
  <c r="K76" i="1"/>
  <c r="L76" i="1"/>
  <c r="M76" i="1"/>
  <c r="N76" i="1"/>
  <c r="O76" i="1"/>
  <c r="P76" i="1"/>
  <c r="Q76" i="1"/>
  <c r="R76" i="1"/>
  <c r="S76" i="1"/>
  <c r="T76" i="1"/>
  <c r="U76" i="1"/>
  <c r="V76" i="1"/>
  <c r="W76" i="1"/>
  <c r="X76" i="1"/>
  <c r="Y76" i="1"/>
  <c r="H77" i="1"/>
  <c r="I77" i="1"/>
  <c r="J77" i="1"/>
  <c r="K77" i="1"/>
  <c r="L77" i="1"/>
  <c r="M77" i="1"/>
  <c r="N77" i="1"/>
  <c r="O77" i="1"/>
  <c r="P77" i="1"/>
  <c r="Q77" i="1"/>
  <c r="R77" i="1"/>
  <c r="S77" i="1"/>
  <c r="T77" i="1"/>
  <c r="U77" i="1"/>
  <c r="V77" i="1"/>
  <c r="W77" i="1"/>
  <c r="X77" i="1"/>
  <c r="Y77" i="1"/>
  <c r="H78" i="1"/>
  <c r="I78" i="1"/>
  <c r="J78" i="1"/>
  <c r="K78" i="1"/>
  <c r="L78" i="1"/>
  <c r="M78" i="1"/>
  <c r="N78" i="1"/>
  <c r="O78" i="1"/>
  <c r="P78" i="1"/>
  <c r="Q78" i="1"/>
  <c r="R78" i="1"/>
  <c r="S78" i="1"/>
  <c r="T78" i="1"/>
  <c r="U78" i="1"/>
  <c r="V78" i="1"/>
  <c r="W78" i="1"/>
  <c r="X78" i="1"/>
  <c r="Y78" i="1"/>
  <c r="H79" i="1"/>
  <c r="I79" i="1"/>
  <c r="J79" i="1"/>
  <c r="K79" i="1"/>
  <c r="L79" i="1"/>
  <c r="M79" i="1"/>
  <c r="N79" i="1"/>
  <c r="O79" i="1"/>
  <c r="P79" i="1"/>
  <c r="Q79" i="1"/>
  <c r="R79" i="1"/>
  <c r="S79" i="1"/>
  <c r="T79" i="1"/>
  <c r="U79" i="1"/>
  <c r="V79" i="1"/>
  <c r="W79" i="1"/>
  <c r="X79" i="1"/>
  <c r="Y79" i="1"/>
  <c r="H63" i="1"/>
  <c r="I63" i="1"/>
  <c r="J63" i="1"/>
  <c r="K63" i="1"/>
  <c r="L63" i="1"/>
  <c r="M63" i="1"/>
  <c r="N63" i="1"/>
  <c r="O63" i="1"/>
  <c r="P63" i="1"/>
  <c r="Q63" i="1"/>
  <c r="R63" i="1"/>
  <c r="S63" i="1"/>
  <c r="T63" i="1"/>
  <c r="U63" i="1"/>
  <c r="V63" i="1"/>
  <c r="W63" i="1"/>
  <c r="X63" i="1"/>
  <c r="Y63" i="1"/>
  <c r="H64" i="1"/>
  <c r="I64" i="1"/>
  <c r="J64" i="1"/>
  <c r="K64" i="1"/>
  <c r="L64" i="1"/>
  <c r="M64" i="1"/>
  <c r="N64" i="1"/>
  <c r="O64" i="1"/>
  <c r="P64" i="1"/>
  <c r="Q64" i="1"/>
  <c r="R64" i="1"/>
  <c r="S64" i="1"/>
  <c r="T64" i="1"/>
  <c r="U64" i="1"/>
  <c r="V64" i="1"/>
  <c r="W64" i="1"/>
  <c r="X64" i="1"/>
  <c r="Y64" i="1"/>
  <c r="H65" i="1"/>
  <c r="I65" i="1"/>
  <c r="J65" i="1"/>
  <c r="K65" i="1"/>
  <c r="L65" i="1"/>
  <c r="M65" i="1"/>
  <c r="N65" i="1"/>
  <c r="O65" i="1"/>
  <c r="P65" i="1"/>
  <c r="Q65" i="1"/>
  <c r="R65" i="1"/>
  <c r="S65" i="1"/>
  <c r="T65" i="1"/>
  <c r="U65" i="1"/>
  <c r="V65" i="1"/>
  <c r="W65" i="1"/>
  <c r="X65" i="1"/>
  <c r="Y65" i="1"/>
  <c r="H62" i="1"/>
  <c r="I62" i="1"/>
  <c r="J62" i="1"/>
  <c r="K62" i="1"/>
  <c r="L62" i="1"/>
  <c r="M62" i="1"/>
  <c r="N62" i="1"/>
  <c r="O62" i="1"/>
  <c r="P62" i="1"/>
  <c r="Q62" i="1"/>
  <c r="R62" i="1"/>
  <c r="S62" i="1"/>
  <c r="T62" i="1"/>
  <c r="U62" i="1"/>
  <c r="V62" i="1"/>
  <c r="W62" i="1"/>
  <c r="X62" i="1"/>
  <c r="Y62" i="1"/>
  <c r="H61" i="1"/>
  <c r="I61" i="1"/>
  <c r="J61" i="1"/>
  <c r="K61" i="1"/>
  <c r="L61" i="1"/>
  <c r="M61" i="1"/>
  <c r="N61" i="1"/>
  <c r="O61" i="1"/>
  <c r="P61" i="1"/>
  <c r="Q61" i="1"/>
  <c r="R61" i="1"/>
  <c r="S61" i="1"/>
  <c r="T61" i="1"/>
  <c r="U61" i="1"/>
  <c r="V61" i="1"/>
  <c r="W61" i="1"/>
  <c r="X61" i="1"/>
  <c r="Y61" i="1"/>
  <c r="H60" i="1"/>
  <c r="I60" i="1"/>
  <c r="J60" i="1"/>
  <c r="K60" i="1"/>
  <c r="L60" i="1"/>
  <c r="M60" i="1"/>
  <c r="N60" i="1"/>
  <c r="O60" i="1"/>
  <c r="P60" i="1"/>
  <c r="Q60" i="1"/>
  <c r="R60" i="1"/>
  <c r="S60" i="1"/>
  <c r="T60" i="1"/>
  <c r="U60" i="1"/>
  <c r="V60" i="1"/>
  <c r="W60" i="1"/>
  <c r="X60" i="1"/>
  <c r="Y60" i="1"/>
  <c r="H59" i="1"/>
  <c r="I59" i="1"/>
  <c r="J59" i="1"/>
  <c r="K59" i="1"/>
  <c r="L59" i="1"/>
  <c r="M59" i="1"/>
  <c r="N59" i="1"/>
  <c r="O59" i="1"/>
  <c r="P59" i="1"/>
  <c r="Q59" i="1"/>
  <c r="R59" i="1"/>
  <c r="S59" i="1"/>
  <c r="T59" i="1"/>
  <c r="U59" i="1"/>
  <c r="V59" i="1"/>
  <c r="W59" i="1"/>
  <c r="X59" i="1"/>
  <c r="Y59" i="1"/>
  <c r="H58" i="1"/>
  <c r="I58" i="1"/>
  <c r="J58" i="1"/>
  <c r="K58" i="1"/>
  <c r="L58" i="1"/>
  <c r="M58" i="1"/>
  <c r="N58" i="1"/>
  <c r="O58" i="1"/>
  <c r="P58" i="1"/>
  <c r="Q58" i="1"/>
  <c r="R58" i="1"/>
  <c r="S58" i="1"/>
  <c r="T58" i="1"/>
  <c r="U58" i="1"/>
  <c r="V58" i="1"/>
  <c r="W58" i="1"/>
  <c r="X58" i="1"/>
  <c r="Y58" i="1"/>
  <c r="H57" i="1"/>
  <c r="I57" i="1"/>
  <c r="J57" i="1"/>
  <c r="K57" i="1"/>
  <c r="L57" i="1"/>
  <c r="M57" i="1"/>
  <c r="N57" i="1"/>
  <c r="O57" i="1"/>
  <c r="P57" i="1"/>
  <c r="Q57" i="1"/>
  <c r="R57" i="1"/>
  <c r="S57" i="1"/>
  <c r="T57" i="1"/>
  <c r="U57" i="1"/>
  <c r="V57" i="1"/>
  <c r="W57" i="1"/>
  <c r="X57" i="1"/>
  <c r="Y57" i="1"/>
  <c r="Y56" i="1"/>
  <c r="X56" i="1"/>
  <c r="W56" i="1"/>
  <c r="V56" i="1"/>
  <c r="U56" i="1"/>
  <c r="T56" i="1"/>
  <c r="S56" i="1"/>
  <c r="R56" i="1"/>
  <c r="Q56" i="1"/>
  <c r="P56" i="1"/>
  <c r="O56" i="1"/>
  <c r="N56" i="1"/>
  <c r="M56" i="1"/>
  <c r="L56" i="1"/>
  <c r="K56" i="1"/>
  <c r="J56" i="1"/>
  <c r="I56" i="1"/>
  <c r="H56" i="1"/>
  <c r="Y55" i="1"/>
  <c r="X55" i="1"/>
  <c r="W55" i="1"/>
  <c r="V55" i="1"/>
  <c r="U55" i="1"/>
  <c r="T55" i="1"/>
  <c r="S55" i="1"/>
  <c r="R55" i="1"/>
  <c r="Q55" i="1"/>
  <c r="P55" i="1"/>
  <c r="O55" i="1"/>
  <c r="N55" i="1"/>
  <c r="M55" i="1"/>
  <c r="L55" i="1"/>
  <c r="K55" i="1"/>
  <c r="J55" i="1"/>
  <c r="I55" i="1"/>
  <c r="H55" i="1"/>
  <c r="Y54" i="1"/>
  <c r="X54" i="1"/>
  <c r="W54" i="1"/>
  <c r="V54" i="1"/>
  <c r="U54" i="1"/>
  <c r="T54" i="1"/>
  <c r="S54" i="1"/>
  <c r="R54" i="1"/>
  <c r="Q54" i="1"/>
  <c r="P54" i="1"/>
  <c r="O54" i="1"/>
  <c r="N54" i="1"/>
  <c r="M54" i="1"/>
  <c r="L54" i="1"/>
  <c r="K54" i="1"/>
  <c r="J54" i="1"/>
  <c r="I54" i="1"/>
  <c r="H54" i="1"/>
  <c r="Y53" i="1"/>
  <c r="X53" i="1"/>
  <c r="W53" i="1"/>
  <c r="V53" i="1"/>
  <c r="U53" i="1"/>
  <c r="T53" i="1"/>
  <c r="S53" i="1"/>
  <c r="R53" i="1"/>
  <c r="Q53" i="1"/>
  <c r="P53" i="1"/>
  <c r="O53" i="1"/>
  <c r="N53" i="1"/>
  <c r="M53" i="1"/>
  <c r="L53" i="1"/>
  <c r="K53" i="1"/>
  <c r="J53" i="1"/>
  <c r="I53" i="1"/>
  <c r="H53" i="1"/>
  <c r="Y52" i="1"/>
  <c r="X52" i="1"/>
  <c r="W52" i="1"/>
  <c r="V52" i="1"/>
  <c r="U52" i="1"/>
  <c r="T52" i="1"/>
  <c r="S52" i="1"/>
  <c r="R52" i="1"/>
  <c r="Q52" i="1"/>
  <c r="P52" i="1"/>
  <c r="O52" i="1"/>
  <c r="N52" i="1"/>
  <c r="M52" i="1"/>
  <c r="L52" i="1"/>
  <c r="K52" i="1"/>
  <c r="J52" i="1"/>
  <c r="I52" i="1"/>
  <c r="H52" i="1"/>
  <c r="Y51" i="1"/>
  <c r="X51" i="1"/>
  <c r="W51" i="1"/>
  <c r="V51" i="1"/>
  <c r="U51" i="1"/>
  <c r="T51" i="1"/>
  <c r="S51" i="1"/>
  <c r="R51" i="1"/>
  <c r="Q51" i="1"/>
  <c r="P51" i="1"/>
  <c r="O51" i="1"/>
  <c r="N51" i="1"/>
  <c r="M51" i="1"/>
  <c r="L51" i="1"/>
  <c r="K51" i="1"/>
  <c r="J51" i="1"/>
  <c r="I51" i="1"/>
  <c r="H51" i="1"/>
  <c r="Y50" i="1"/>
  <c r="X50" i="1"/>
  <c r="W50" i="1"/>
  <c r="V50" i="1"/>
  <c r="U50" i="1"/>
  <c r="T50" i="1"/>
  <c r="S50" i="1"/>
  <c r="R50" i="1"/>
  <c r="Q50" i="1"/>
  <c r="P50" i="1"/>
  <c r="O50" i="1"/>
  <c r="N50" i="1"/>
  <c r="M50" i="1"/>
  <c r="L50" i="1"/>
  <c r="K50" i="1"/>
  <c r="J50" i="1"/>
  <c r="I50" i="1"/>
  <c r="H50" i="1"/>
  <c r="H48" i="1"/>
  <c r="I48" i="1"/>
  <c r="J48" i="1"/>
  <c r="K48" i="1"/>
  <c r="L48" i="1"/>
  <c r="M48" i="1"/>
  <c r="N48" i="1"/>
  <c r="O48" i="1"/>
  <c r="P48" i="1"/>
  <c r="Q48" i="1"/>
  <c r="R48" i="1"/>
  <c r="S48" i="1"/>
  <c r="T48" i="1"/>
  <c r="U48" i="1"/>
  <c r="V48" i="1"/>
  <c r="W48" i="1"/>
  <c r="X48" i="1"/>
  <c r="Y48" i="1"/>
  <c r="H46" i="1"/>
  <c r="I46" i="1"/>
  <c r="J46" i="1"/>
  <c r="K46" i="1"/>
  <c r="L46" i="1"/>
  <c r="M46" i="1"/>
  <c r="N46" i="1"/>
  <c r="O46" i="1"/>
  <c r="P46" i="1"/>
  <c r="Q46" i="1"/>
  <c r="R46" i="1"/>
  <c r="S46" i="1"/>
  <c r="T46" i="1"/>
  <c r="U46" i="1"/>
  <c r="V46" i="1"/>
  <c r="W46" i="1"/>
  <c r="X46" i="1"/>
  <c r="Y46" i="1"/>
  <c r="H47" i="1"/>
  <c r="I47" i="1"/>
  <c r="J47" i="1"/>
  <c r="K47" i="1"/>
  <c r="L47" i="1"/>
  <c r="M47" i="1"/>
  <c r="N47" i="1"/>
  <c r="O47" i="1"/>
  <c r="P47" i="1"/>
  <c r="Q47" i="1"/>
  <c r="R47" i="1"/>
  <c r="S47" i="1"/>
  <c r="T47" i="1"/>
  <c r="U47" i="1"/>
  <c r="V47" i="1"/>
  <c r="W47" i="1"/>
  <c r="X47" i="1"/>
  <c r="Y47" i="1"/>
  <c r="H49" i="1"/>
  <c r="I49" i="1"/>
  <c r="J49" i="1"/>
  <c r="K49" i="1"/>
  <c r="L49" i="1"/>
  <c r="M49" i="1"/>
  <c r="N49" i="1"/>
  <c r="O49" i="1"/>
  <c r="P49" i="1"/>
  <c r="Q49" i="1"/>
  <c r="R49" i="1"/>
  <c r="S49" i="1"/>
  <c r="T49" i="1"/>
  <c r="U49" i="1"/>
  <c r="V49" i="1"/>
  <c r="W49" i="1"/>
  <c r="X49" i="1"/>
  <c r="Y49" i="1"/>
  <c r="H45" i="1"/>
  <c r="I45" i="1"/>
  <c r="J45" i="1"/>
  <c r="K45" i="1"/>
  <c r="L45" i="1"/>
  <c r="M45" i="1"/>
  <c r="N45" i="1"/>
  <c r="O45" i="1"/>
  <c r="P45" i="1"/>
  <c r="Q45" i="1"/>
  <c r="R45" i="1"/>
  <c r="S45" i="1"/>
  <c r="T45" i="1"/>
  <c r="U45" i="1"/>
  <c r="V45" i="1"/>
  <c r="W45" i="1"/>
  <c r="X45" i="1"/>
  <c r="Y45" i="1"/>
  <c r="H44" i="1"/>
  <c r="I44" i="1"/>
  <c r="J44" i="1"/>
  <c r="K44" i="1"/>
  <c r="L44" i="1"/>
  <c r="M44" i="1"/>
  <c r="N44" i="1"/>
  <c r="O44" i="1"/>
  <c r="P44" i="1"/>
  <c r="Q44" i="1"/>
  <c r="R44" i="1"/>
  <c r="S44" i="1"/>
  <c r="T44" i="1"/>
  <c r="U44" i="1"/>
  <c r="V44" i="1"/>
  <c r="W44" i="1"/>
  <c r="X44" i="1"/>
  <c r="Y44" i="1"/>
  <c r="H43" i="1"/>
  <c r="I43" i="1"/>
  <c r="J43" i="1"/>
  <c r="K43" i="1"/>
  <c r="L43" i="1"/>
  <c r="M43" i="1"/>
  <c r="N43" i="1"/>
  <c r="O43" i="1"/>
  <c r="P43" i="1"/>
  <c r="Q43" i="1"/>
  <c r="R43" i="1"/>
  <c r="S43" i="1"/>
  <c r="T43" i="1"/>
  <c r="U43" i="1"/>
  <c r="V43" i="1"/>
  <c r="W43" i="1"/>
  <c r="X43" i="1"/>
  <c r="Y43" i="1"/>
  <c r="H42" i="1"/>
  <c r="I42" i="1"/>
  <c r="J42" i="1"/>
  <c r="K42" i="1"/>
  <c r="L42" i="1"/>
  <c r="M42" i="1"/>
  <c r="N42" i="1"/>
  <c r="O42" i="1"/>
  <c r="P42" i="1"/>
  <c r="Q42" i="1"/>
  <c r="R42" i="1"/>
  <c r="S42" i="1"/>
  <c r="T42" i="1"/>
  <c r="U42" i="1"/>
  <c r="V42" i="1"/>
  <c r="W42" i="1"/>
  <c r="X42" i="1"/>
  <c r="Y42" i="1"/>
  <c r="H41" i="1"/>
  <c r="I41" i="1"/>
  <c r="J41" i="1"/>
  <c r="K41" i="1"/>
  <c r="L41" i="1"/>
  <c r="M41" i="1"/>
  <c r="N41" i="1"/>
  <c r="O41" i="1"/>
  <c r="P41" i="1"/>
  <c r="Q41" i="1"/>
  <c r="R41" i="1"/>
  <c r="S41" i="1"/>
  <c r="T41" i="1"/>
  <c r="U41" i="1"/>
  <c r="V41" i="1"/>
  <c r="W41" i="1"/>
  <c r="X41" i="1"/>
  <c r="Y41" i="1"/>
  <c r="Y40" i="1"/>
  <c r="X40" i="1"/>
  <c r="W40" i="1"/>
  <c r="V40" i="1"/>
  <c r="U40" i="1"/>
  <c r="T40" i="1"/>
  <c r="S40" i="1"/>
  <c r="R40" i="1"/>
  <c r="Q40" i="1"/>
  <c r="P40" i="1"/>
  <c r="O40" i="1"/>
  <c r="N40" i="1"/>
  <c r="M40" i="1"/>
  <c r="L40" i="1"/>
  <c r="K40" i="1"/>
  <c r="J40" i="1"/>
  <c r="I40" i="1"/>
  <c r="H40" i="1"/>
  <c r="Y39" i="1"/>
  <c r="X39" i="1"/>
  <c r="W39" i="1"/>
  <c r="V39" i="1"/>
  <c r="U39" i="1"/>
  <c r="T39" i="1"/>
  <c r="S39" i="1"/>
  <c r="R39" i="1"/>
  <c r="Q39" i="1"/>
  <c r="P39" i="1"/>
  <c r="O39" i="1"/>
  <c r="N39" i="1"/>
  <c r="M39" i="1"/>
  <c r="L39" i="1"/>
  <c r="K39" i="1"/>
  <c r="J39" i="1"/>
  <c r="I39" i="1"/>
  <c r="H39" i="1"/>
  <c r="H38" i="1"/>
  <c r="I38" i="1"/>
  <c r="J38" i="1"/>
  <c r="K38" i="1"/>
  <c r="L38" i="1"/>
  <c r="M38" i="1"/>
  <c r="N38" i="1"/>
  <c r="O38" i="1"/>
  <c r="P38" i="1"/>
  <c r="Q38" i="1"/>
  <c r="R38" i="1"/>
  <c r="S38" i="1"/>
  <c r="T38" i="1"/>
  <c r="U38" i="1"/>
  <c r="V38" i="1"/>
  <c r="W38" i="1"/>
  <c r="X38" i="1"/>
  <c r="Y38" i="1"/>
  <c r="H37" i="1"/>
  <c r="I37" i="1"/>
  <c r="J37" i="1"/>
  <c r="K37" i="1"/>
  <c r="L37" i="1"/>
  <c r="M37" i="1"/>
  <c r="N37" i="1"/>
  <c r="O37" i="1"/>
  <c r="P37" i="1"/>
  <c r="Q37" i="1"/>
  <c r="R37" i="1"/>
  <c r="S37" i="1"/>
  <c r="T37" i="1"/>
  <c r="U37" i="1"/>
  <c r="V37" i="1"/>
  <c r="W37" i="1"/>
  <c r="X37" i="1"/>
  <c r="Y37" i="1"/>
  <c r="H36" i="1"/>
  <c r="I36" i="1"/>
  <c r="J36" i="1"/>
  <c r="K36" i="1"/>
  <c r="L36" i="1"/>
  <c r="M36" i="1"/>
  <c r="N36" i="1"/>
  <c r="O36" i="1"/>
  <c r="P36" i="1"/>
  <c r="Q36" i="1"/>
  <c r="R36" i="1"/>
  <c r="S36" i="1"/>
  <c r="T36" i="1"/>
  <c r="U36" i="1"/>
  <c r="V36" i="1"/>
  <c r="W36" i="1"/>
  <c r="X36" i="1"/>
  <c r="Y36" i="1"/>
  <c r="AL4" i="1"/>
  <c r="AL3" i="1"/>
  <c r="AL2" i="1"/>
  <c r="H35" i="1"/>
  <c r="I35" i="1"/>
  <c r="J35" i="1"/>
  <c r="K35" i="1"/>
  <c r="L35" i="1"/>
  <c r="M35" i="1"/>
  <c r="N35" i="1"/>
  <c r="O35" i="1"/>
  <c r="P35" i="1"/>
  <c r="Q35" i="1"/>
  <c r="R35" i="1"/>
  <c r="S35" i="1"/>
  <c r="T35" i="1"/>
  <c r="U35" i="1"/>
  <c r="V35" i="1"/>
  <c r="W35" i="1"/>
  <c r="X35" i="1"/>
  <c r="Y35" i="1"/>
  <c r="H34" i="1"/>
  <c r="I34" i="1"/>
  <c r="J34" i="1"/>
  <c r="K34" i="1"/>
  <c r="L34" i="1"/>
  <c r="M34" i="1"/>
  <c r="N34" i="1"/>
  <c r="O34" i="1"/>
  <c r="P34" i="1"/>
  <c r="Q34" i="1"/>
  <c r="R34" i="1"/>
  <c r="S34" i="1"/>
  <c r="T34" i="1"/>
  <c r="U34" i="1"/>
  <c r="V34" i="1"/>
  <c r="W34" i="1"/>
  <c r="X34" i="1"/>
  <c r="Y34" i="1"/>
  <c r="H33" i="1"/>
  <c r="I33" i="1"/>
  <c r="J33" i="1"/>
  <c r="K33" i="1"/>
  <c r="L33" i="1"/>
  <c r="M33" i="1"/>
  <c r="N33" i="1"/>
  <c r="O33" i="1"/>
  <c r="P33" i="1"/>
  <c r="Q33" i="1"/>
  <c r="R33" i="1"/>
  <c r="S33" i="1"/>
  <c r="T33" i="1"/>
  <c r="U33" i="1"/>
  <c r="V33" i="1"/>
  <c r="W33" i="1"/>
  <c r="X33" i="1"/>
  <c r="Y33" i="1"/>
  <c r="R32" i="1"/>
  <c r="O32" i="1"/>
  <c r="O26" i="1"/>
  <c r="O27" i="1"/>
  <c r="O28" i="1"/>
  <c r="O29" i="1"/>
  <c r="O30" i="1"/>
  <c r="O31" i="1"/>
  <c r="H31" i="1"/>
  <c r="I31" i="1"/>
  <c r="J31" i="1"/>
  <c r="K31" i="1"/>
  <c r="L31" i="1"/>
  <c r="M31" i="1"/>
  <c r="N31" i="1"/>
  <c r="P31" i="1"/>
  <c r="Q31" i="1"/>
  <c r="R31" i="1"/>
  <c r="S31" i="1"/>
  <c r="T31" i="1"/>
  <c r="U31" i="1"/>
  <c r="V31" i="1"/>
  <c r="W31" i="1"/>
  <c r="X31" i="1"/>
  <c r="Y31" i="1"/>
  <c r="H32" i="1"/>
  <c r="I32" i="1"/>
  <c r="J32" i="1"/>
  <c r="K32" i="1"/>
  <c r="L32" i="1"/>
  <c r="M32" i="1"/>
  <c r="N32" i="1"/>
  <c r="P32" i="1"/>
  <c r="Q32" i="1"/>
  <c r="S32" i="1"/>
  <c r="T32" i="1"/>
  <c r="U32" i="1"/>
  <c r="V32" i="1"/>
  <c r="W32" i="1"/>
  <c r="X32" i="1"/>
  <c r="Y32" i="1"/>
  <c r="H29" i="1"/>
  <c r="I29" i="1"/>
  <c r="J29" i="1"/>
  <c r="K29" i="1"/>
  <c r="L29" i="1"/>
  <c r="M29" i="1"/>
  <c r="N29" i="1"/>
  <c r="P29" i="1"/>
  <c r="Q29" i="1"/>
  <c r="R29" i="1"/>
  <c r="S29" i="1"/>
  <c r="T29" i="1"/>
  <c r="U29" i="1"/>
  <c r="V29" i="1"/>
  <c r="W29" i="1"/>
  <c r="X29" i="1"/>
  <c r="Y29" i="1"/>
  <c r="H30" i="1"/>
  <c r="I30" i="1"/>
  <c r="J30" i="1"/>
  <c r="K30" i="1"/>
  <c r="L30" i="1"/>
  <c r="M30" i="1"/>
  <c r="N30" i="1"/>
  <c r="P30" i="1"/>
  <c r="Q30" i="1"/>
  <c r="R30" i="1"/>
  <c r="S30" i="1"/>
  <c r="T30" i="1"/>
  <c r="U30" i="1"/>
  <c r="V30" i="1"/>
  <c r="W30" i="1"/>
  <c r="X30" i="1"/>
  <c r="Y30" i="1"/>
  <c r="H28" i="1"/>
  <c r="I28" i="1"/>
  <c r="J28" i="1"/>
  <c r="K28" i="1"/>
  <c r="L28" i="1"/>
  <c r="M28" i="1"/>
  <c r="N28" i="1"/>
  <c r="P28" i="1"/>
  <c r="Q28" i="1"/>
  <c r="R28" i="1"/>
  <c r="S28" i="1"/>
  <c r="T28" i="1"/>
  <c r="U28" i="1"/>
  <c r="V28" i="1"/>
  <c r="W28" i="1"/>
  <c r="X28" i="1"/>
  <c r="Y28" i="1"/>
  <c r="H27" i="1"/>
  <c r="I27" i="1"/>
  <c r="J27" i="1"/>
  <c r="K27" i="1"/>
  <c r="L27" i="1"/>
  <c r="M27" i="1"/>
  <c r="N27" i="1"/>
  <c r="P27" i="1"/>
  <c r="Q27" i="1"/>
  <c r="R27" i="1"/>
  <c r="S27" i="1"/>
  <c r="T27" i="1"/>
  <c r="U27" i="1"/>
  <c r="V27" i="1"/>
  <c r="W27" i="1"/>
  <c r="X27" i="1"/>
  <c r="Y27" i="1"/>
  <c r="H26" i="1"/>
  <c r="I26" i="1"/>
  <c r="J26" i="1"/>
  <c r="K26" i="1"/>
  <c r="L26" i="1"/>
  <c r="M26" i="1"/>
  <c r="N26" i="1"/>
  <c r="P26" i="1"/>
  <c r="Q26" i="1"/>
  <c r="R26" i="1"/>
  <c r="S26" i="1"/>
  <c r="T26" i="1"/>
  <c r="U26" i="1"/>
  <c r="V26" i="1"/>
  <c r="W26" i="1"/>
  <c r="X26" i="1"/>
  <c r="Y26" i="1"/>
  <c r="H25" i="1"/>
  <c r="I25" i="1"/>
  <c r="J25" i="1"/>
  <c r="K25" i="1"/>
  <c r="L25" i="1"/>
  <c r="M25" i="1"/>
  <c r="N25" i="1"/>
  <c r="O25" i="1"/>
  <c r="P25" i="1"/>
  <c r="Q25" i="1"/>
  <c r="R25" i="1"/>
  <c r="S25" i="1"/>
  <c r="T25" i="1"/>
  <c r="U25" i="1"/>
  <c r="V25" i="1"/>
  <c r="W25" i="1"/>
  <c r="X25" i="1"/>
  <c r="Y25" i="1"/>
  <c r="R3" i="1"/>
  <c r="R4" i="1"/>
  <c r="R2" i="1"/>
  <c r="H22" i="1"/>
  <c r="I22" i="1"/>
  <c r="J22" i="1"/>
  <c r="K22" i="1"/>
  <c r="L22" i="1"/>
  <c r="M22" i="1"/>
  <c r="N22" i="1"/>
  <c r="O22" i="1"/>
  <c r="P22" i="1"/>
  <c r="Q22" i="1"/>
  <c r="R22" i="1"/>
  <c r="S22" i="1"/>
  <c r="T22" i="1"/>
  <c r="U22" i="1"/>
  <c r="V22" i="1"/>
  <c r="W22" i="1"/>
  <c r="X22" i="1"/>
  <c r="Y22" i="1"/>
  <c r="H23" i="1"/>
  <c r="I23" i="1"/>
  <c r="J23" i="1"/>
  <c r="K23" i="1"/>
  <c r="L23" i="1"/>
  <c r="M23" i="1"/>
  <c r="N23" i="1"/>
  <c r="O23" i="1"/>
  <c r="P23" i="1"/>
  <c r="Q23" i="1"/>
  <c r="R23" i="1"/>
  <c r="S23" i="1"/>
  <c r="T23" i="1"/>
  <c r="U23" i="1"/>
  <c r="V23" i="1"/>
  <c r="W23" i="1"/>
  <c r="X23" i="1"/>
  <c r="Y23" i="1"/>
  <c r="H24" i="1"/>
  <c r="I24" i="1"/>
  <c r="J24" i="1"/>
  <c r="K24" i="1"/>
  <c r="L24" i="1"/>
  <c r="M24" i="1"/>
  <c r="N24" i="1"/>
  <c r="O24" i="1"/>
  <c r="P24" i="1"/>
  <c r="Q24" i="1"/>
  <c r="R24" i="1"/>
  <c r="S24" i="1"/>
  <c r="T24" i="1"/>
  <c r="U24" i="1"/>
  <c r="V24" i="1"/>
  <c r="W24" i="1"/>
  <c r="X24" i="1"/>
  <c r="Y24" i="1"/>
  <c r="H21" i="1"/>
  <c r="I21" i="1"/>
  <c r="J21" i="1"/>
  <c r="K21" i="1"/>
  <c r="L21" i="1"/>
  <c r="M21" i="1"/>
  <c r="N21" i="1"/>
  <c r="O21" i="1"/>
  <c r="P21" i="1"/>
  <c r="Q21" i="1"/>
  <c r="R21" i="1"/>
  <c r="S21" i="1"/>
  <c r="T21" i="1"/>
  <c r="U21" i="1"/>
  <c r="V21" i="1"/>
  <c r="W21" i="1"/>
  <c r="X21" i="1"/>
  <c r="Y21" i="1"/>
  <c r="H20" i="1"/>
  <c r="I20" i="1"/>
  <c r="J20" i="1"/>
  <c r="K20" i="1"/>
  <c r="L20" i="1"/>
  <c r="M20" i="1"/>
  <c r="N20" i="1"/>
  <c r="O20" i="1"/>
  <c r="P20" i="1"/>
  <c r="Q20" i="1"/>
  <c r="R20" i="1"/>
  <c r="S20" i="1"/>
  <c r="T20" i="1"/>
  <c r="U20" i="1"/>
  <c r="V20" i="1"/>
  <c r="W20" i="1"/>
  <c r="X20" i="1"/>
  <c r="Y20" i="1"/>
  <c r="H19" i="1"/>
  <c r="I19" i="1"/>
  <c r="J19" i="1"/>
  <c r="K19" i="1"/>
  <c r="L19" i="1"/>
  <c r="M19" i="1"/>
  <c r="N19" i="1"/>
  <c r="O19" i="1"/>
  <c r="P19" i="1"/>
  <c r="Q19" i="1"/>
  <c r="R19" i="1"/>
  <c r="S19" i="1"/>
  <c r="T19" i="1"/>
  <c r="U19" i="1"/>
  <c r="V19" i="1"/>
  <c r="W19" i="1"/>
  <c r="X19" i="1"/>
  <c r="Y19" i="1"/>
  <c r="H18" i="1"/>
  <c r="I18" i="1"/>
  <c r="J18" i="1"/>
  <c r="K18" i="1"/>
  <c r="L18" i="1"/>
  <c r="M18" i="1"/>
  <c r="N18" i="1"/>
  <c r="O18" i="1"/>
  <c r="P18" i="1"/>
  <c r="Q18" i="1"/>
  <c r="R18" i="1"/>
  <c r="S18" i="1"/>
  <c r="T18" i="1"/>
  <c r="U18" i="1"/>
  <c r="V18" i="1"/>
  <c r="W18" i="1"/>
  <c r="X18" i="1"/>
  <c r="Y18" i="1"/>
  <c r="H17" i="1"/>
  <c r="I17" i="1"/>
  <c r="J17" i="1"/>
  <c r="K17" i="1"/>
  <c r="L17" i="1"/>
  <c r="M17" i="1"/>
  <c r="N17" i="1"/>
  <c r="O17" i="1"/>
  <c r="P17" i="1"/>
  <c r="Q17" i="1"/>
  <c r="R17" i="1"/>
  <c r="S17" i="1"/>
  <c r="T17" i="1"/>
  <c r="U17" i="1"/>
  <c r="V17" i="1"/>
  <c r="W17" i="1"/>
  <c r="X17" i="1"/>
  <c r="Y17" i="1"/>
  <c r="H16" i="1"/>
  <c r="I16" i="1"/>
  <c r="J16" i="1"/>
  <c r="K16" i="1"/>
  <c r="L16" i="1"/>
  <c r="M16" i="1"/>
  <c r="N16" i="1"/>
  <c r="O16" i="1"/>
  <c r="P16" i="1"/>
  <c r="Q16" i="1"/>
  <c r="R16" i="1"/>
  <c r="S16" i="1"/>
  <c r="T16" i="1"/>
  <c r="U16" i="1"/>
  <c r="V16" i="1"/>
  <c r="W16" i="1"/>
  <c r="X16" i="1"/>
  <c r="Y16" i="1"/>
  <c r="H15" i="1"/>
  <c r="I15" i="1"/>
  <c r="J15" i="1"/>
  <c r="K15" i="1"/>
  <c r="L15" i="1"/>
  <c r="M15" i="1"/>
  <c r="N15" i="1"/>
  <c r="O15" i="1"/>
  <c r="P15" i="1"/>
  <c r="Q15" i="1"/>
  <c r="R15" i="1"/>
  <c r="S15" i="1"/>
  <c r="T15" i="1"/>
  <c r="U15" i="1"/>
  <c r="V15" i="1"/>
  <c r="W15" i="1"/>
  <c r="X15" i="1"/>
  <c r="Y15" i="1"/>
  <c r="H11" i="1"/>
  <c r="I11" i="1"/>
  <c r="J11" i="1"/>
  <c r="K11" i="1"/>
  <c r="L11" i="1"/>
  <c r="M11" i="1"/>
  <c r="N11" i="1"/>
  <c r="O11" i="1"/>
  <c r="P11" i="1"/>
  <c r="Q11" i="1"/>
  <c r="R11" i="1"/>
  <c r="S11" i="1"/>
  <c r="T11" i="1"/>
  <c r="U11" i="1"/>
  <c r="V11" i="1"/>
  <c r="W11" i="1"/>
  <c r="X11" i="1"/>
  <c r="Y11" i="1"/>
  <c r="H12" i="1"/>
  <c r="I12" i="1"/>
  <c r="J12" i="1"/>
  <c r="K12" i="1"/>
  <c r="L12" i="1"/>
  <c r="M12" i="1"/>
  <c r="N12" i="1"/>
  <c r="O12" i="1"/>
  <c r="P12" i="1"/>
  <c r="Q12" i="1"/>
  <c r="R12" i="1"/>
  <c r="S12" i="1"/>
  <c r="T12" i="1"/>
  <c r="U12" i="1"/>
  <c r="V12" i="1"/>
  <c r="W12" i="1"/>
  <c r="X12" i="1"/>
  <c r="Y12" i="1"/>
  <c r="H13" i="1"/>
  <c r="I13" i="1"/>
  <c r="J13" i="1"/>
  <c r="K13" i="1"/>
  <c r="L13" i="1"/>
  <c r="M13" i="1"/>
  <c r="N13" i="1"/>
  <c r="O13" i="1"/>
  <c r="P13" i="1"/>
  <c r="Q13" i="1"/>
  <c r="R13" i="1"/>
  <c r="S13" i="1"/>
  <c r="T13" i="1"/>
  <c r="U13" i="1"/>
  <c r="V13" i="1"/>
  <c r="W13" i="1"/>
  <c r="X13" i="1"/>
  <c r="Y13" i="1"/>
  <c r="H14" i="1"/>
  <c r="I14" i="1"/>
  <c r="J14" i="1"/>
  <c r="K14" i="1"/>
  <c r="L14" i="1"/>
  <c r="M14" i="1"/>
  <c r="N14" i="1"/>
  <c r="O14" i="1"/>
  <c r="P14" i="1"/>
  <c r="Q14" i="1"/>
  <c r="R14" i="1"/>
  <c r="S14" i="1"/>
  <c r="T14" i="1"/>
  <c r="U14" i="1"/>
  <c r="V14" i="1"/>
  <c r="W14" i="1"/>
  <c r="X14" i="1"/>
  <c r="Y14" i="1"/>
  <c r="H10" i="1"/>
  <c r="I10" i="1"/>
  <c r="J10" i="1"/>
  <c r="K10" i="1"/>
  <c r="L10" i="1"/>
  <c r="M10" i="1"/>
  <c r="N10" i="1"/>
  <c r="O10" i="1"/>
  <c r="P10" i="1"/>
  <c r="Q10" i="1"/>
  <c r="R10" i="1"/>
  <c r="S10" i="1"/>
  <c r="T10" i="1"/>
  <c r="U10" i="1"/>
  <c r="V10" i="1"/>
  <c r="W10" i="1"/>
  <c r="X10" i="1"/>
  <c r="Y10" i="1"/>
  <c r="H9" i="1"/>
  <c r="I9" i="1"/>
  <c r="J9" i="1"/>
  <c r="K9" i="1"/>
  <c r="L9" i="1"/>
  <c r="M9" i="1"/>
  <c r="N9" i="1"/>
  <c r="O9" i="1"/>
  <c r="P9" i="1"/>
  <c r="Q9" i="1"/>
  <c r="R9" i="1"/>
  <c r="S9" i="1"/>
  <c r="T9" i="1"/>
  <c r="U9" i="1"/>
  <c r="V9" i="1"/>
  <c r="W9" i="1"/>
  <c r="X9" i="1"/>
  <c r="Y9" i="1"/>
  <c r="H8" i="1"/>
  <c r="I8" i="1"/>
  <c r="J8" i="1"/>
  <c r="K8" i="1"/>
  <c r="L8" i="1"/>
  <c r="M8" i="1"/>
  <c r="N8" i="1"/>
  <c r="O8" i="1"/>
  <c r="P8" i="1"/>
  <c r="Q8" i="1"/>
  <c r="R8" i="1"/>
  <c r="S8" i="1"/>
  <c r="T8" i="1"/>
  <c r="U8" i="1"/>
  <c r="V8" i="1"/>
  <c r="W8" i="1"/>
  <c r="X8" i="1"/>
  <c r="Y8" i="1"/>
  <c r="H7" i="1"/>
  <c r="I7" i="1"/>
  <c r="J7" i="1"/>
  <c r="K7" i="1"/>
  <c r="L7" i="1"/>
  <c r="M7" i="1"/>
  <c r="N7" i="1"/>
  <c r="O7" i="1"/>
  <c r="P7" i="1"/>
  <c r="Q7" i="1"/>
  <c r="R7" i="1"/>
  <c r="S7" i="1"/>
  <c r="T7" i="1"/>
  <c r="U7" i="1"/>
  <c r="V7" i="1"/>
  <c r="W7" i="1"/>
  <c r="X7" i="1"/>
  <c r="Y7" i="1"/>
  <c r="C2" i="1"/>
  <c r="C3" i="1" s="1"/>
  <c r="A2" i="1"/>
  <c r="AD66" i="1"/>
  <c r="AH66" i="1"/>
  <c r="AL66" i="1"/>
  <c r="AP66" i="1"/>
  <c r="AB67" i="1"/>
  <c r="AF67" i="1"/>
  <c r="AJ67" i="1"/>
  <c r="AN67" i="1"/>
  <c r="AR67" i="1"/>
  <c r="AD68" i="1"/>
  <c r="AH68" i="1"/>
  <c r="AL68" i="1"/>
  <c r="AP68" i="1"/>
  <c r="AB69" i="1"/>
  <c r="AF69" i="1"/>
  <c r="AJ69" i="1"/>
  <c r="AN69" i="1"/>
  <c r="AR69" i="1"/>
  <c r="AE66" i="1"/>
  <c r="AI66" i="1"/>
  <c r="AM66" i="1"/>
  <c r="AQ66" i="1"/>
  <c r="AC67" i="1"/>
  <c r="AG67" i="1"/>
  <c r="AK67" i="1"/>
  <c r="AO67" i="1"/>
  <c r="AS67" i="1"/>
  <c r="AE68" i="1"/>
  <c r="AI68" i="1"/>
  <c r="AM68" i="1"/>
  <c r="AQ68" i="1"/>
  <c r="AC69" i="1"/>
  <c r="AG69" i="1"/>
  <c r="AK69" i="1"/>
  <c r="AO69" i="1"/>
  <c r="AS69" i="1"/>
  <c r="AB66" i="1"/>
  <c r="AF66" i="1"/>
  <c r="AJ66" i="1"/>
  <c r="AN66" i="1"/>
  <c r="AR66" i="1"/>
  <c r="AD67" i="1"/>
  <c r="AH67" i="1"/>
  <c r="AL67" i="1"/>
  <c r="AP67" i="1"/>
  <c r="AB68" i="1"/>
  <c r="AF68" i="1"/>
  <c r="AJ68" i="1"/>
  <c r="AN68" i="1"/>
  <c r="AR68" i="1"/>
  <c r="AD69" i="1"/>
  <c r="AH69" i="1"/>
  <c r="AL69" i="1"/>
  <c r="AP69" i="1"/>
  <c r="AB70" i="1"/>
  <c r="AF70" i="1"/>
  <c r="AJ70" i="1"/>
  <c r="AN70" i="1"/>
  <c r="AR70" i="1"/>
  <c r="AH70" i="1"/>
  <c r="AP70" i="1"/>
  <c r="AD71" i="1"/>
  <c r="AH71" i="1"/>
  <c r="AL71" i="1"/>
  <c r="AB71" i="1"/>
  <c r="AJ71" i="1"/>
  <c r="AR71" i="1"/>
  <c r="AB72" i="1"/>
  <c r="AJ72" i="1"/>
  <c r="AR72" i="1"/>
  <c r="AH73" i="1"/>
  <c r="AP73" i="1"/>
  <c r="AR73" i="1"/>
  <c r="AJ74" i="1"/>
  <c r="AE74" i="1"/>
  <c r="AG75" i="1"/>
  <c r="AC66" i="1"/>
  <c r="AG66" i="1"/>
  <c r="AK66" i="1"/>
  <c r="AO66" i="1"/>
  <c r="AS66" i="1"/>
  <c r="AE67" i="1"/>
  <c r="AI67" i="1"/>
  <c r="AM67" i="1"/>
  <c r="AQ67" i="1"/>
  <c r="AC68" i="1"/>
  <c r="AG68" i="1"/>
  <c r="AK68" i="1"/>
  <c r="AO68" i="1"/>
  <c r="AS68" i="1"/>
  <c r="AE69" i="1"/>
  <c r="AI69" i="1"/>
  <c r="AM69" i="1"/>
  <c r="AQ69" i="1"/>
  <c r="AC70" i="1"/>
  <c r="AG70" i="1"/>
  <c r="AK70" i="1"/>
  <c r="AO70" i="1"/>
  <c r="AS70" i="1"/>
  <c r="AI70" i="1"/>
  <c r="AQ70" i="1"/>
  <c r="AE71" i="1"/>
  <c r="AI71" i="1"/>
  <c r="AM71" i="1"/>
  <c r="AQ71" i="1"/>
  <c r="AC71" i="1"/>
  <c r="AK71" i="1"/>
  <c r="AS71" i="1"/>
  <c r="AC72" i="1"/>
  <c r="AG72" i="1"/>
  <c r="AK72" i="1"/>
  <c r="AO72" i="1"/>
  <c r="AS72" i="1"/>
  <c r="AI72" i="1"/>
  <c r="AQ72" i="1"/>
  <c r="AE73" i="1"/>
  <c r="AI73" i="1"/>
  <c r="AM73" i="1"/>
  <c r="AD70" i="1"/>
  <c r="AL70" i="1"/>
  <c r="AF71" i="1"/>
  <c r="AN71" i="1"/>
  <c r="AD72" i="1"/>
  <c r="AL72" i="1"/>
  <c r="AF73" i="1"/>
  <c r="AN73" i="1"/>
  <c r="AH74" i="1"/>
  <c r="AM74" i="1"/>
  <c r="AP72" i="1"/>
  <c r="AB73" i="1"/>
  <c r="AF74" i="1"/>
  <c r="AP74" i="1"/>
  <c r="AK75" i="1"/>
  <c r="AE70" i="1"/>
  <c r="AM70" i="1"/>
  <c r="AG71" i="1"/>
  <c r="AO71" i="1"/>
  <c r="AE72" i="1"/>
  <c r="AM72" i="1"/>
  <c r="AG73" i="1"/>
  <c r="AO73" i="1"/>
  <c r="AD74" i="1"/>
  <c r="AI74" i="1"/>
  <c r="AP71" i="1"/>
  <c r="AF72" i="1"/>
  <c r="AN72" i="1"/>
  <c r="AH72" i="1"/>
  <c r="AD73" i="1"/>
  <c r="AL73" i="1"/>
  <c r="AJ73" i="1"/>
  <c r="AB74" i="1"/>
  <c r="AN74" i="1"/>
  <c r="AR74" i="1"/>
  <c r="AC75" i="1"/>
  <c r="AC73" i="1"/>
  <c r="AL74" i="1"/>
  <c r="AO75" i="1"/>
  <c r="AD76" i="1"/>
  <c r="AH76" i="1"/>
  <c r="AL76" i="1"/>
  <c r="AP76" i="1"/>
  <c r="AB76" i="1"/>
  <c r="AJ76" i="1"/>
  <c r="AR76" i="1"/>
  <c r="AB77" i="1"/>
  <c r="AF77" i="1"/>
  <c r="AJ77" i="1"/>
  <c r="AN77" i="1"/>
  <c r="AR77" i="1"/>
  <c r="AG77" i="1"/>
  <c r="AO77" i="1"/>
  <c r="AD78" i="1"/>
  <c r="AH78" i="1"/>
  <c r="AL78" i="1"/>
  <c r="AP78" i="1"/>
  <c r="AB78" i="1"/>
  <c r="AJ78" i="1"/>
  <c r="AB79" i="1"/>
  <c r="AJ79" i="1"/>
  <c r="AG79" i="1"/>
  <c r="AQ73" i="1"/>
  <c r="AK73" i="1"/>
  <c r="AQ74" i="1"/>
  <c r="AD75" i="1"/>
  <c r="AP75" i="1"/>
  <c r="AE76" i="1"/>
  <c r="AM76" i="1"/>
  <c r="AH77" i="1"/>
  <c r="AP77" i="1"/>
  <c r="AE78" i="1"/>
  <c r="AM78" i="1"/>
  <c r="AH79" i="1"/>
  <c r="AP79" i="1"/>
  <c r="AM79" i="1"/>
  <c r="AF79" i="1"/>
  <c r="AS73" i="1"/>
  <c r="AC74" i="1"/>
  <c r="AK74" i="1"/>
  <c r="AO74" i="1"/>
  <c r="AS74" i="1"/>
  <c r="AE75" i="1"/>
  <c r="AI75" i="1"/>
  <c r="AM75" i="1"/>
  <c r="AQ75" i="1"/>
  <c r="AH75" i="1"/>
  <c r="AS75" i="1"/>
  <c r="AF76" i="1"/>
  <c r="AN76" i="1"/>
  <c r="AC77" i="1"/>
  <c r="AK77" i="1"/>
  <c r="AS77" i="1"/>
  <c r="AF78" i="1"/>
  <c r="AN78" i="1"/>
  <c r="AC79" i="1"/>
  <c r="AK79" i="1"/>
  <c r="AS79" i="1"/>
  <c r="AQ79" i="1"/>
  <c r="AR79" i="1"/>
  <c r="AB75" i="1"/>
  <c r="AF75" i="1"/>
  <c r="AJ75" i="1"/>
  <c r="AN75" i="1"/>
  <c r="AR75" i="1"/>
  <c r="AL75" i="1"/>
  <c r="AC76" i="1"/>
  <c r="AG76" i="1"/>
  <c r="AK76" i="1"/>
  <c r="AO76" i="1"/>
  <c r="AS76" i="1"/>
  <c r="AI76" i="1"/>
  <c r="AQ76" i="1"/>
  <c r="AE77" i="1"/>
  <c r="AI77" i="1"/>
  <c r="AM77" i="1"/>
  <c r="AQ77" i="1"/>
  <c r="AD77" i="1"/>
  <c r="AL77" i="1"/>
  <c r="AC78" i="1"/>
  <c r="AG78" i="1"/>
  <c r="AK78" i="1"/>
  <c r="AO78" i="1"/>
  <c r="AS78" i="1"/>
  <c r="AI78" i="1"/>
  <c r="AQ78" i="1"/>
  <c r="AE79" i="1"/>
  <c r="AI79" i="1"/>
  <c r="AD79" i="1"/>
  <c r="AL79" i="1"/>
  <c r="AR78" i="1"/>
  <c r="AN79" i="1"/>
  <c r="AO79" i="1"/>
  <c r="AG74" i="1"/>
  <c r="AD63" i="1"/>
  <c r="AH63" i="1"/>
  <c r="AL63" i="1"/>
  <c r="AP63" i="1"/>
  <c r="AB64" i="1"/>
  <c r="AF64" i="1"/>
  <c r="AJ64" i="1"/>
  <c r="AN64" i="1"/>
  <c r="AR64" i="1"/>
  <c r="AD65" i="1"/>
  <c r="AH65" i="1"/>
  <c r="AL65" i="1"/>
  <c r="AP65" i="1"/>
  <c r="AM64" i="1"/>
  <c r="AK65" i="1"/>
  <c r="AC63" i="1"/>
  <c r="AO63" i="1"/>
  <c r="AI64" i="1"/>
  <c r="AC65" i="1"/>
  <c r="AO65" i="1"/>
  <c r="AG63" i="1"/>
  <c r="AK63" i="1"/>
  <c r="AS63" i="1"/>
  <c r="AE64" i="1"/>
  <c r="AQ64" i="1"/>
  <c r="AG65" i="1"/>
  <c r="AS65" i="1"/>
  <c r="AB63" i="1"/>
  <c r="AF63" i="1"/>
  <c r="AJ63" i="1"/>
  <c r="AR63" i="1"/>
  <c r="AD64" i="1"/>
  <c r="AH64" i="1"/>
  <c r="AB65" i="1"/>
  <c r="AN65" i="1"/>
  <c r="AE65" i="1"/>
  <c r="AF65" i="1"/>
  <c r="AE63" i="1"/>
  <c r="AI63" i="1"/>
  <c r="AM63" i="1"/>
  <c r="AQ63" i="1"/>
  <c r="AC64" i="1"/>
  <c r="AG64" i="1"/>
  <c r="AK64" i="1"/>
  <c r="AO64" i="1"/>
  <c r="AS64" i="1"/>
  <c r="AI65" i="1"/>
  <c r="AM65" i="1"/>
  <c r="AQ65" i="1"/>
  <c r="AN63" i="1"/>
  <c r="AL64" i="1"/>
  <c r="AP64" i="1"/>
  <c r="AJ65" i="1"/>
  <c r="AR65" i="1"/>
  <c r="AB58" i="1"/>
  <c r="AF58" i="1"/>
  <c r="AJ58" i="1"/>
  <c r="AN58" i="1"/>
  <c r="AR58" i="1"/>
  <c r="AC59" i="1"/>
  <c r="AG59" i="1"/>
  <c r="AK59" i="1"/>
  <c r="AO59" i="1"/>
  <c r="AS59" i="1"/>
  <c r="AD60" i="1"/>
  <c r="AH60" i="1"/>
  <c r="AL60" i="1"/>
  <c r="AP60" i="1"/>
  <c r="AE61" i="1"/>
  <c r="AI61" i="1"/>
  <c r="AM61" i="1"/>
  <c r="AQ61" i="1"/>
  <c r="AB62" i="1"/>
  <c r="AF62" i="1"/>
  <c r="AJ62" i="1"/>
  <c r="AN62" i="1"/>
  <c r="AR62" i="1"/>
  <c r="AC58" i="1"/>
  <c r="AG58" i="1"/>
  <c r="AK58" i="1"/>
  <c r="AO58" i="1"/>
  <c r="AS58" i="1"/>
  <c r="AD59" i="1"/>
  <c r="AH59" i="1"/>
  <c r="AL59" i="1"/>
  <c r="AP59" i="1"/>
  <c r="AE60" i="1"/>
  <c r="AI60" i="1"/>
  <c r="AM60" i="1"/>
  <c r="AQ60" i="1"/>
  <c r="AB61" i="1"/>
  <c r="AF61" i="1"/>
  <c r="AJ61" i="1"/>
  <c r="AN61" i="1"/>
  <c r="AR61" i="1"/>
  <c r="AC62" i="1"/>
  <c r="AG62" i="1"/>
  <c r="AK62" i="1"/>
  <c r="AO62" i="1"/>
  <c r="AS62" i="1"/>
  <c r="AD58" i="1"/>
  <c r="AH58" i="1"/>
  <c r="AL58" i="1"/>
  <c r="AP58" i="1"/>
  <c r="AE59" i="1"/>
  <c r="AI59" i="1"/>
  <c r="AM59" i="1"/>
  <c r="AQ59" i="1"/>
  <c r="AB60" i="1"/>
  <c r="AF60" i="1"/>
  <c r="AJ60" i="1"/>
  <c r="AN60" i="1"/>
  <c r="AR60" i="1"/>
  <c r="AC61" i="1"/>
  <c r="AG61" i="1"/>
  <c r="AK61" i="1"/>
  <c r="AO61" i="1"/>
  <c r="AS61" i="1"/>
  <c r="AD62" i="1"/>
  <c r="AH62" i="1"/>
  <c r="AL62" i="1"/>
  <c r="AP62" i="1"/>
  <c r="AE58" i="1"/>
  <c r="AI58" i="1"/>
  <c r="AM58" i="1"/>
  <c r="AQ58" i="1"/>
  <c r="AB59" i="1"/>
  <c r="AF59" i="1"/>
  <c r="AJ59" i="1"/>
  <c r="AN59" i="1"/>
  <c r="AR59" i="1"/>
  <c r="AC60" i="1"/>
  <c r="AG60" i="1"/>
  <c r="AK60" i="1"/>
  <c r="AO60" i="1"/>
  <c r="AS60" i="1"/>
  <c r="AD61" i="1"/>
  <c r="AH61" i="1"/>
  <c r="AL61" i="1"/>
  <c r="AP61" i="1"/>
  <c r="AE62" i="1"/>
  <c r="AI62" i="1"/>
  <c r="AM62" i="1"/>
  <c r="AQ62" i="1"/>
  <c r="AB57" i="1"/>
  <c r="AF57" i="1"/>
  <c r="AJ57" i="1"/>
  <c r="AN57" i="1"/>
  <c r="AR57" i="1"/>
  <c r="AC57" i="1"/>
  <c r="AG57" i="1"/>
  <c r="AK57" i="1"/>
  <c r="AO57" i="1"/>
  <c r="AS57" i="1"/>
  <c r="AD57" i="1"/>
  <c r="AH57" i="1"/>
  <c r="AL57" i="1"/>
  <c r="AP57" i="1"/>
  <c r="AE57" i="1"/>
  <c r="AI57" i="1"/>
  <c r="AM57" i="1"/>
  <c r="AQ57" i="1"/>
  <c r="AS56" i="1"/>
  <c r="AO56" i="1"/>
  <c r="AK56" i="1"/>
  <c r="AG56" i="1"/>
  <c r="AC56" i="1"/>
  <c r="AJ56" i="1"/>
  <c r="AR56" i="1"/>
  <c r="AQ56" i="1"/>
  <c r="AM56" i="1"/>
  <c r="AI56" i="1"/>
  <c r="AP56" i="1"/>
  <c r="AL56" i="1"/>
  <c r="AH56" i="1"/>
  <c r="AD56" i="1"/>
  <c r="AN56" i="1"/>
  <c r="AF56" i="1"/>
  <c r="AB56" i="1"/>
  <c r="AE56" i="1"/>
  <c r="AS55" i="1"/>
  <c r="AO55" i="1"/>
  <c r="AK55" i="1"/>
  <c r="AG55" i="1"/>
  <c r="AC55" i="1"/>
  <c r="AR55" i="1"/>
  <c r="AN55" i="1"/>
  <c r="AJ55" i="1"/>
  <c r="AF55" i="1"/>
  <c r="AB55" i="1"/>
  <c r="AQ55" i="1"/>
  <c r="AM55" i="1"/>
  <c r="AI55" i="1"/>
  <c r="AE55" i="1"/>
  <c r="AP55" i="1"/>
  <c r="AL55" i="1"/>
  <c r="AH55" i="1"/>
  <c r="AD55" i="1"/>
  <c r="AS54" i="1"/>
  <c r="AO54" i="1"/>
  <c r="AK54" i="1"/>
  <c r="AG54" i="1"/>
  <c r="AC54" i="1"/>
  <c r="AB54" i="1"/>
  <c r="AR54" i="1"/>
  <c r="AN54" i="1"/>
  <c r="AJ54" i="1"/>
  <c r="AQ54" i="1"/>
  <c r="AM54" i="1"/>
  <c r="AI54" i="1"/>
  <c r="AE54" i="1"/>
  <c r="AP54" i="1"/>
  <c r="AL54" i="1"/>
  <c r="AH54" i="1"/>
  <c r="AD54" i="1"/>
  <c r="AF54" i="1"/>
  <c r="AI53" i="1"/>
  <c r="AE53" i="1"/>
  <c r="AQ53" i="1"/>
  <c r="AM53" i="1"/>
  <c r="AS53" i="1"/>
  <c r="AG53" i="1"/>
  <c r="AR53" i="1"/>
  <c r="AN53" i="1"/>
  <c r="AJ53" i="1"/>
  <c r="AF53" i="1"/>
  <c r="AB53" i="1"/>
  <c r="AD53" i="1"/>
  <c r="AP53" i="1"/>
  <c r="AL53" i="1"/>
  <c r="AH53" i="1"/>
  <c r="AO53" i="1"/>
  <c r="AK53" i="1"/>
  <c r="AC53" i="1"/>
  <c r="AS52" i="1"/>
  <c r="AO52" i="1"/>
  <c r="AK52" i="1"/>
  <c r="AG52" i="1"/>
  <c r="AC52" i="1"/>
  <c r="AJ52" i="1"/>
  <c r="AR52" i="1"/>
  <c r="AQ52" i="1"/>
  <c r="AM52" i="1"/>
  <c r="AI52" i="1"/>
  <c r="AE52" i="1"/>
  <c r="AP52" i="1"/>
  <c r="AL52" i="1"/>
  <c r="AH52" i="1"/>
  <c r="AD52" i="1"/>
  <c r="AN52" i="1"/>
  <c r="AF52" i="1"/>
  <c r="AB52" i="1"/>
  <c r="AS51" i="1"/>
  <c r="AO51" i="1"/>
  <c r="AK51" i="1"/>
  <c r="AG51" i="1"/>
  <c r="AC51" i="1"/>
  <c r="AR51" i="1"/>
  <c r="AN51" i="1"/>
  <c r="AF51" i="1"/>
  <c r="AB51" i="1"/>
  <c r="AQ51" i="1"/>
  <c r="AM51" i="1"/>
  <c r="AI51" i="1"/>
  <c r="AE51" i="1"/>
  <c r="AP51" i="1"/>
  <c r="AL51" i="1"/>
  <c r="AH51" i="1"/>
  <c r="AD51" i="1"/>
  <c r="AJ51" i="1"/>
  <c r="AR50" i="1"/>
  <c r="AN50" i="1"/>
  <c r="AJ50" i="1"/>
  <c r="AF50" i="1"/>
  <c r="AB50" i="1"/>
  <c r="AS50" i="1"/>
  <c r="AO50" i="1"/>
  <c r="AK50" i="1"/>
  <c r="AG50" i="1"/>
  <c r="AC50" i="1"/>
  <c r="AM50" i="1"/>
  <c r="AQ50" i="1"/>
  <c r="AI50" i="1"/>
  <c r="AE50" i="1"/>
  <c r="AP50" i="1"/>
  <c r="AL50" i="1"/>
  <c r="AH50" i="1"/>
  <c r="AD50" i="1"/>
  <c r="AQ48" i="1"/>
  <c r="AE48" i="1"/>
  <c r="AI48" i="1"/>
  <c r="AM48" i="1"/>
  <c r="AB48" i="1"/>
  <c r="AF48" i="1"/>
  <c r="AJ48" i="1"/>
  <c r="AN48" i="1"/>
  <c r="AR48" i="1"/>
  <c r="AC48" i="1"/>
  <c r="AG48" i="1"/>
  <c r="AK48" i="1"/>
  <c r="AO48" i="1"/>
  <c r="AS48" i="1"/>
  <c r="AD48" i="1"/>
  <c r="AH48" i="1"/>
  <c r="AL48" i="1"/>
  <c r="AP48" i="1"/>
  <c r="AB46" i="1"/>
  <c r="AF46" i="1"/>
  <c r="AJ46" i="1"/>
  <c r="AN46" i="1"/>
  <c r="AR46" i="1"/>
  <c r="AD47" i="1"/>
  <c r="AH47" i="1"/>
  <c r="AL47" i="1"/>
  <c r="AP47" i="1"/>
  <c r="AB49" i="1"/>
  <c r="AF49" i="1"/>
  <c r="AR49" i="1"/>
  <c r="AJ49" i="1"/>
  <c r="AC46" i="1"/>
  <c r="AG46" i="1"/>
  <c r="AK46" i="1"/>
  <c r="AO46" i="1"/>
  <c r="AS46" i="1"/>
  <c r="AE47" i="1"/>
  <c r="AI47" i="1"/>
  <c r="AM47" i="1"/>
  <c r="AQ47" i="1"/>
  <c r="AC49" i="1"/>
  <c r="AS49" i="1"/>
  <c r="AG49" i="1"/>
  <c r="AO49" i="1"/>
  <c r="AK49" i="1"/>
  <c r="AD46" i="1"/>
  <c r="AH46" i="1"/>
  <c r="AL46" i="1"/>
  <c r="AP46" i="1"/>
  <c r="AB47" i="1"/>
  <c r="AF47" i="1"/>
  <c r="AJ47" i="1"/>
  <c r="AN47" i="1"/>
  <c r="AR47" i="1"/>
  <c r="AD49" i="1"/>
  <c r="AP49" i="1"/>
  <c r="AH49" i="1"/>
  <c r="AL49" i="1"/>
  <c r="AE46" i="1"/>
  <c r="AI46" i="1"/>
  <c r="AM46" i="1"/>
  <c r="AQ46" i="1"/>
  <c r="AC47" i="1"/>
  <c r="AG47" i="1"/>
  <c r="AK47" i="1"/>
  <c r="AO47" i="1"/>
  <c r="AS47" i="1"/>
  <c r="AE49" i="1"/>
  <c r="AN49" i="1"/>
  <c r="AM49" i="1"/>
  <c r="AQ49" i="1"/>
  <c r="AI49" i="1"/>
  <c r="AD45" i="1"/>
  <c r="AH45" i="1"/>
  <c r="AL45" i="1"/>
  <c r="AP45" i="1"/>
  <c r="AE45" i="1"/>
  <c r="AI45" i="1"/>
  <c r="AM45" i="1"/>
  <c r="AQ45" i="1"/>
  <c r="AB45" i="1"/>
  <c r="AF45" i="1"/>
  <c r="AJ45" i="1"/>
  <c r="AN45" i="1"/>
  <c r="AR45" i="1"/>
  <c r="AC45" i="1"/>
  <c r="AG45" i="1"/>
  <c r="AK45" i="1"/>
  <c r="AO45" i="1"/>
  <c r="AS45" i="1"/>
  <c r="AS44" i="1"/>
  <c r="AO44" i="1"/>
  <c r="AK44" i="1"/>
  <c r="AG44" i="1"/>
  <c r="AR44" i="1"/>
  <c r="AN44" i="1"/>
  <c r="AJ44" i="1"/>
  <c r="AF44" i="1"/>
  <c r="AB44" i="1"/>
  <c r="AQ44" i="1"/>
  <c r="AM44" i="1"/>
  <c r="AI44" i="1"/>
  <c r="AE44" i="1"/>
  <c r="AP44" i="1"/>
  <c r="AL44" i="1"/>
  <c r="AH44" i="1"/>
  <c r="AD44" i="1"/>
  <c r="AC44" i="1"/>
  <c r="AD43" i="1"/>
  <c r="AH43" i="1"/>
  <c r="AL43" i="1"/>
  <c r="AP43" i="1"/>
  <c r="AE43" i="1"/>
  <c r="AI43" i="1"/>
  <c r="AM43" i="1"/>
  <c r="AQ43" i="1"/>
  <c r="AB43" i="1"/>
  <c r="AF43" i="1"/>
  <c r="AJ43" i="1"/>
  <c r="AN43" i="1"/>
  <c r="AR43" i="1"/>
  <c r="AC43" i="1"/>
  <c r="AG43" i="1"/>
  <c r="AK43" i="1"/>
  <c r="AO43" i="1"/>
  <c r="AS43" i="1"/>
  <c r="AP42" i="1"/>
  <c r="AC41" i="1"/>
  <c r="AG41" i="1"/>
  <c r="AK41" i="1"/>
  <c r="AO41" i="1"/>
  <c r="AS41" i="1"/>
  <c r="AE42" i="1"/>
  <c r="AI42" i="1"/>
  <c r="AM42" i="1"/>
  <c r="AQ42" i="1"/>
  <c r="AJ41" i="1"/>
  <c r="AR41" i="1"/>
  <c r="AH42" i="1"/>
  <c r="AD41" i="1"/>
  <c r="AH41" i="1"/>
  <c r="AL41" i="1"/>
  <c r="AP41" i="1"/>
  <c r="AB42" i="1"/>
  <c r="AF42" i="1"/>
  <c r="AJ42" i="1"/>
  <c r="AN42" i="1"/>
  <c r="AR42" i="1"/>
  <c r="AF41" i="1"/>
  <c r="AN41" i="1"/>
  <c r="AL42" i="1"/>
  <c r="AE41" i="1"/>
  <c r="AI41" i="1"/>
  <c r="AM41" i="1"/>
  <c r="AQ41" i="1"/>
  <c r="AC42" i="1"/>
  <c r="AG42" i="1"/>
  <c r="AK42" i="1"/>
  <c r="AO42" i="1"/>
  <c r="AS42" i="1"/>
  <c r="AB41" i="1"/>
  <c r="AD42" i="1"/>
  <c r="AB38" i="1"/>
  <c r="AF38" i="1"/>
  <c r="AJ38" i="1"/>
  <c r="AN38" i="1"/>
  <c r="AR38" i="1"/>
  <c r="AE39" i="1"/>
  <c r="AI39" i="1"/>
  <c r="AM39" i="1"/>
  <c r="AQ39" i="1"/>
  <c r="AD40" i="1"/>
  <c r="AH40" i="1"/>
  <c r="AL40" i="1"/>
  <c r="AP40" i="1"/>
  <c r="AC38" i="1"/>
  <c r="AG38" i="1"/>
  <c r="AK38" i="1"/>
  <c r="AO38" i="1"/>
  <c r="AS38" i="1"/>
  <c r="AB39" i="1"/>
  <c r="AF39" i="1"/>
  <c r="AJ39" i="1"/>
  <c r="AN39" i="1"/>
  <c r="AR39" i="1"/>
  <c r="AE40" i="1"/>
  <c r="AI40" i="1"/>
  <c r="AM40" i="1"/>
  <c r="AQ40" i="1"/>
  <c r="AD38" i="1"/>
  <c r="AH38" i="1"/>
  <c r="AL38" i="1"/>
  <c r="AP38" i="1"/>
  <c r="AC39" i="1"/>
  <c r="AG39" i="1"/>
  <c r="AK39" i="1"/>
  <c r="AO39" i="1"/>
  <c r="AS39" i="1"/>
  <c r="AB40" i="1"/>
  <c r="AF40" i="1"/>
  <c r="AJ40" i="1"/>
  <c r="AN40" i="1"/>
  <c r="AR40" i="1"/>
  <c r="AE38" i="1"/>
  <c r="AI38" i="1"/>
  <c r="AM38" i="1"/>
  <c r="AQ38" i="1"/>
  <c r="AD39" i="1"/>
  <c r="AH39" i="1"/>
  <c r="AL39" i="1"/>
  <c r="AP39" i="1"/>
  <c r="AC40" i="1"/>
  <c r="AG40" i="1"/>
  <c r="AK40" i="1"/>
  <c r="AO40" i="1"/>
  <c r="AS40" i="1"/>
  <c r="AR37" i="1"/>
  <c r="AN37" i="1"/>
  <c r="AJ37" i="1"/>
  <c r="AF37" i="1"/>
  <c r="AB37" i="1"/>
  <c r="AQ37" i="1"/>
  <c r="AM37" i="1"/>
  <c r="AI37" i="1"/>
  <c r="AE37" i="1"/>
  <c r="AP37" i="1"/>
  <c r="AL37" i="1"/>
  <c r="AH37" i="1"/>
  <c r="AD37" i="1"/>
  <c r="AS37" i="1"/>
  <c r="AO37" i="1"/>
  <c r="AK37" i="1"/>
  <c r="AG37" i="1"/>
  <c r="AC37" i="1"/>
  <c r="AB36" i="1"/>
  <c r="AF36" i="1"/>
  <c r="AJ36" i="1"/>
  <c r="AN36" i="1"/>
  <c r="AR36" i="1"/>
  <c r="AC36" i="1"/>
  <c r="AG36" i="1"/>
  <c r="AK36" i="1"/>
  <c r="AO36" i="1"/>
  <c r="AS36" i="1"/>
  <c r="AD36" i="1"/>
  <c r="AH36" i="1"/>
  <c r="AL36" i="1"/>
  <c r="AP36" i="1"/>
  <c r="AE36" i="1"/>
  <c r="AI36" i="1"/>
  <c r="AM36" i="1"/>
  <c r="AQ36" i="1"/>
  <c r="AB8" i="1"/>
  <c r="AF8" i="1"/>
  <c r="AJ8" i="1"/>
  <c r="AN8" i="1"/>
  <c r="AR8" i="1"/>
  <c r="AD9" i="1"/>
  <c r="AH9" i="1"/>
  <c r="AL9" i="1"/>
  <c r="AP9" i="1"/>
  <c r="AB10" i="1"/>
  <c r="AF10" i="1"/>
  <c r="AJ10" i="1"/>
  <c r="AN10" i="1"/>
  <c r="AR10" i="1"/>
  <c r="AD11" i="1"/>
  <c r="AH11" i="1"/>
  <c r="AL11" i="1"/>
  <c r="AP11" i="1"/>
  <c r="AB12" i="1"/>
  <c r="AF12" i="1"/>
  <c r="AJ12" i="1"/>
  <c r="AN12" i="1"/>
  <c r="AR12" i="1"/>
  <c r="AD13" i="1"/>
  <c r="AH13" i="1"/>
  <c r="AL13" i="1"/>
  <c r="AP13" i="1"/>
  <c r="AB14" i="1"/>
  <c r="AF14" i="1"/>
  <c r="AJ14" i="1"/>
  <c r="AN14" i="1"/>
  <c r="AR14" i="1"/>
  <c r="AD15" i="1"/>
  <c r="AH15" i="1"/>
  <c r="AL15" i="1"/>
  <c r="AP15" i="1"/>
  <c r="AB16" i="1"/>
  <c r="AF16" i="1"/>
  <c r="AJ16" i="1"/>
  <c r="AN16" i="1"/>
  <c r="AR16" i="1"/>
  <c r="AD17" i="1"/>
  <c r="AH17" i="1"/>
  <c r="AL17" i="1"/>
  <c r="AP17" i="1"/>
  <c r="AB18" i="1"/>
  <c r="AF18" i="1"/>
  <c r="AJ18" i="1"/>
  <c r="AN18" i="1"/>
  <c r="AR18" i="1"/>
  <c r="AD19" i="1"/>
  <c r="AH19" i="1"/>
  <c r="AL19" i="1"/>
  <c r="AP19" i="1"/>
  <c r="AB20" i="1"/>
  <c r="AF20" i="1"/>
  <c r="AJ20" i="1"/>
  <c r="AN20" i="1"/>
  <c r="AR20" i="1"/>
  <c r="AD21" i="1"/>
  <c r="AH21" i="1"/>
  <c r="AL21" i="1"/>
  <c r="AP21" i="1"/>
  <c r="AB22" i="1"/>
  <c r="AF22" i="1"/>
  <c r="AJ22" i="1"/>
  <c r="AN22" i="1"/>
  <c r="AR22" i="1"/>
  <c r="AD23" i="1"/>
  <c r="AH23" i="1"/>
  <c r="AL23" i="1"/>
  <c r="AP23" i="1"/>
  <c r="AB24" i="1"/>
  <c r="AF24" i="1"/>
  <c r="AJ24" i="1"/>
  <c r="AN24" i="1"/>
  <c r="AR24" i="1"/>
  <c r="AD25" i="1"/>
  <c r="AH25" i="1"/>
  <c r="AL25" i="1"/>
  <c r="AP25" i="1"/>
  <c r="AB26" i="1"/>
  <c r="AF26" i="1"/>
  <c r="AJ26" i="1"/>
  <c r="AN26" i="1"/>
  <c r="AR26" i="1"/>
  <c r="AD27" i="1"/>
  <c r="AH27" i="1"/>
  <c r="AL27" i="1"/>
  <c r="AP27" i="1"/>
  <c r="AB28" i="1"/>
  <c r="AF28" i="1"/>
  <c r="AJ28" i="1"/>
  <c r="AN28" i="1"/>
  <c r="AR28" i="1"/>
  <c r="AD29" i="1"/>
  <c r="AH29" i="1"/>
  <c r="AL29" i="1"/>
  <c r="AP29" i="1"/>
  <c r="AB30" i="1"/>
  <c r="AF30" i="1"/>
  <c r="AJ30" i="1"/>
  <c r="AN30" i="1"/>
  <c r="AR30" i="1"/>
  <c r="AD31" i="1"/>
  <c r="AH31" i="1"/>
  <c r="AL31" i="1"/>
  <c r="AP31" i="1"/>
  <c r="AB32" i="1"/>
  <c r="AF32" i="1"/>
  <c r="AJ32" i="1"/>
  <c r="AN32" i="1"/>
  <c r="AR32" i="1"/>
  <c r="AD33" i="1"/>
  <c r="AH33" i="1"/>
  <c r="AL33" i="1"/>
  <c r="AP33" i="1"/>
  <c r="AB34" i="1"/>
  <c r="AF34" i="1"/>
  <c r="AJ34" i="1"/>
  <c r="AN34" i="1"/>
  <c r="AR34" i="1"/>
  <c r="AD35" i="1"/>
  <c r="AH35" i="1"/>
  <c r="AP35" i="1"/>
  <c r="AC8" i="1"/>
  <c r="AG8" i="1"/>
  <c r="AK8" i="1"/>
  <c r="AO8" i="1"/>
  <c r="AS8" i="1"/>
  <c r="AE9" i="1"/>
  <c r="AI9" i="1"/>
  <c r="AM9" i="1"/>
  <c r="AQ9" i="1"/>
  <c r="AC10" i="1"/>
  <c r="AG10" i="1"/>
  <c r="AK10" i="1"/>
  <c r="AO10" i="1"/>
  <c r="AS10" i="1"/>
  <c r="AE11" i="1"/>
  <c r="AI11" i="1"/>
  <c r="AM11" i="1"/>
  <c r="AQ11" i="1"/>
  <c r="AC12" i="1"/>
  <c r="AG12" i="1"/>
  <c r="AK12" i="1"/>
  <c r="AO12" i="1"/>
  <c r="AS12" i="1"/>
  <c r="AE13" i="1"/>
  <c r="AI13" i="1"/>
  <c r="AM13" i="1"/>
  <c r="AQ13" i="1"/>
  <c r="AC14" i="1"/>
  <c r="AG14" i="1"/>
  <c r="AK14" i="1"/>
  <c r="AO14" i="1"/>
  <c r="AS14" i="1"/>
  <c r="AE15" i="1"/>
  <c r="AI15" i="1"/>
  <c r="AM15" i="1"/>
  <c r="AQ15" i="1"/>
  <c r="AC16" i="1"/>
  <c r="AG16" i="1"/>
  <c r="AK16" i="1"/>
  <c r="AO16" i="1"/>
  <c r="AS16" i="1"/>
  <c r="AE17" i="1"/>
  <c r="AI17" i="1"/>
  <c r="AM17" i="1"/>
  <c r="AQ17" i="1"/>
  <c r="AC18" i="1"/>
  <c r="AG18" i="1"/>
  <c r="AK18" i="1"/>
  <c r="AO18" i="1"/>
  <c r="AS18" i="1"/>
  <c r="AE19" i="1"/>
  <c r="AI19" i="1"/>
  <c r="AM19" i="1"/>
  <c r="AQ19" i="1"/>
  <c r="AC20" i="1"/>
  <c r="AG20" i="1"/>
  <c r="AK20" i="1"/>
  <c r="AO20" i="1"/>
  <c r="AS20" i="1"/>
  <c r="AE21" i="1"/>
  <c r="AI21" i="1"/>
  <c r="AM21" i="1"/>
  <c r="AQ21" i="1"/>
  <c r="AC22" i="1"/>
  <c r="AG22" i="1"/>
  <c r="AK22" i="1"/>
  <c r="AO22" i="1"/>
  <c r="AS22" i="1"/>
  <c r="AE23" i="1"/>
  <c r="AI23" i="1"/>
  <c r="AM23" i="1"/>
  <c r="AQ23" i="1"/>
  <c r="AC24" i="1"/>
  <c r="AG24" i="1"/>
  <c r="AK24" i="1"/>
  <c r="AO24" i="1"/>
  <c r="AS24" i="1"/>
  <c r="AE25" i="1"/>
  <c r="AI25" i="1"/>
  <c r="AM25" i="1"/>
  <c r="AQ25" i="1"/>
  <c r="AC26" i="1"/>
  <c r="AG26" i="1"/>
  <c r="AK26" i="1"/>
  <c r="AO26" i="1"/>
  <c r="AS26" i="1"/>
  <c r="AE27" i="1"/>
  <c r="AI27" i="1"/>
  <c r="AM27" i="1"/>
  <c r="AQ27" i="1"/>
  <c r="AC28" i="1"/>
  <c r="AG28" i="1"/>
  <c r="AK28" i="1"/>
  <c r="AO28" i="1"/>
  <c r="AS28" i="1"/>
  <c r="AE29" i="1"/>
  <c r="AI29" i="1"/>
  <c r="AM29" i="1"/>
  <c r="AQ29" i="1"/>
  <c r="AC30" i="1"/>
  <c r="AG30" i="1"/>
  <c r="AK30" i="1"/>
  <c r="AO30" i="1"/>
  <c r="AS30" i="1"/>
  <c r="AE31" i="1"/>
  <c r="AI31" i="1"/>
  <c r="AM31" i="1"/>
  <c r="AQ31" i="1"/>
  <c r="AC32" i="1"/>
  <c r="AG32" i="1"/>
  <c r="AK32" i="1"/>
  <c r="AO32" i="1"/>
  <c r="AS32" i="1"/>
  <c r="AE33" i="1"/>
  <c r="AI33" i="1"/>
  <c r="AM33" i="1"/>
  <c r="AQ33" i="1"/>
  <c r="AC34" i="1"/>
  <c r="AG34" i="1"/>
  <c r="AK34" i="1"/>
  <c r="AO34" i="1"/>
  <c r="AS34" i="1"/>
  <c r="AE35" i="1"/>
  <c r="AI35" i="1"/>
  <c r="AD8" i="1"/>
  <c r="AH8" i="1"/>
  <c r="AL8" i="1"/>
  <c r="AP8" i="1"/>
  <c r="AB9" i="1"/>
  <c r="AF9" i="1"/>
  <c r="AJ9" i="1"/>
  <c r="AN9" i="1"/>
  <c r="AR9" i="1"/>
  <c r="AD10" i="1"/>
  <c r="AH10" i="1"/>
  <c r="AL10" i="1"/>
  <c r="AP10" i="1"/>
  <c r="AB11" i="1"/>
  <c r="AF11" i="1"/>
  <c r="AJ11" i="1"/>
  <c r="AN11" i="1"/>
  <c r="AR11" i="1"/>
  <c r="AD12" i="1"/>
  <c r="AH12" i="1"/>
  <c r="AL12" i="1"/>
  <c r="AP12" i="1"/>
  <c r="AB13" i="1"/>
  <c r="AF13" i="1"/>
  <c r="AJ13" i="1"/>
  <c r="AN13" i="1"/>
  <c r="AR13" i="1"/>
  <c r="AD14" i="1"/>
  <c r="AH14" i="1"/>
  <c r="AL14" i="1"/>
  <c r="AP14" i="1"/>
  <c r="AB15" i="1"/>
  <c r="AF15" i="1"/>
  <c r="AJ15" i="1"/>
  <c r="AN15" i="1"/>
  <c r="AR15" i="1"/>
  <c r="AD16" i="1"/>
  <c r="AH16" i="1"/>
  <c r="AL16" i="1"/>
  <c r="AP16" i="1"/>
  <c r="AB17" i="1"/>
  <c r="AF17" i="1"/>
  <c r="AJ17" i="1"/>
  <c r="AN17" i="1"/>
  <c r="AR17" i="1"/>
  <c r="AD18" i="1"/>
  <c r="AH18" i="1"/>
  <c r="AL18" i="1"/>
  <c r="AP18" i="1"/>
  <c r="AB19" i="1"/>
  <c r="AF19" i="1"/>
  <c r="AJ19" i="1"/>
  <c r="AN19" i="1"/>
  <c r="AR19" i="1"/>
  <c r="AD20" i="1"/>
  <c r="AH20" i="1"/>
  <c r="AL20" i="1"/>
  <c r="AP20" i="1"/>
  <c r="AB21" i="1"/>
  <c r="AF21" i="1"/>
  <c r="AJ21" i="1"/>
  <c r="AN21" i="1"/>
  <c r="AR21" i="1"/>
  <c r="AD22" i="1"/>
  <c r="AH22" i="1"/>
  <c r="AL22" i="1"/>
  <c r="AP22" i="1"/>
  <c r="AB23" i="1"/>
  <c r="AF23" i="1"/>
  <c r="AJ23" i="1"/>
  <c r="AN23" i="1"/>
  <c r="AR23" i="1"/>
  <c r="AD24" i="1"/>
  <c r="AH24" i="1"/>
  <c r="AL24" i="1"/>
  <c r="AP24" i="1"/>
  <c r="AB25" i="1"/>
  <c r="AF25" i="1"/>
  <c r="AJ25" i="1"/>
  <c r="AN25" i="1"/>
  <c r="AR25" i="1"/>
  <c r="AD26" i="1"/>
  <c r="AH26" i="1"/>
  <c r="AL26" i="1"/>
  <c r="AP26" i="1"/>
  <c r="AB27" i="1"/>
  <c r="AF27" i="1"/>
  <c r="AJ27" i="1"/>
  <c r="AN27" i="1"/>
  <c r="AR27" i="1"/>
  <c r="AD28" i="1"/>
  <c r="AH28" i="1"/>
  <c r="AL28" i="1"/>
  <c r="AP28" i="1"/>
  <c r="AB29" i="1"/>
  <c r="AF29" i="1"/>
  <c r="AJ29" i="1"/>
  <c r="AN29" i="1"/>
  <c r="AR29" i="1"/>
  <c r="AD30" i="1"/>
  <c r="AH30" i="1"/>
  <c r="AL30" i="1"/>
  <c r="AP30" i="1"/>
  <c r="AB31" i="1"/>
  <c r="AF31" i="1"/>
  <c r="AJ31" i="1"/>
  <c r="AN31" i="1"/>
  <c r="AR31" i="1"/>
  <c r="AD32" i="1"/>
  <c r="AH32" i="1"/>
  <c r="AL32" i="1"/>
  <c r="AP32" i="1"/>
  <c r="AB33" i="1"/>
  <c r="AF33" i="1"/>
  <c r="AJ33" i="1"/>
  <c r="AN33" i="1"/>
  <c r="AR33" i="1"/>
  <c r="AD34" i="1"/>
  <c r="AH34" i="1"/>
  <c r="AL34" i="1"/>
  <c r="AP34" i="1"/>
  <c r="AB35" i="1"/>
  <c r="AF35" i="1"/>
  <c r="AJ35" i="1"/>
  <c r="AN35" i="1"/>
  <c r="AR35" i="1"/>
  <c r="AE8" i="1"/>
  <c r="AI8" i="1"/>
  <c r="AM8" i="1"/>
  <c r="AQ8" i="1"/>
  <c r="AC9" i="1"/>
  <c r="AG9" i="1"/>
  <c r="AK9" i="1"/>
  <c r="AO9" i="1"/>
  <c r="AS9" i="1"/>
  <c r="AE10" i="1"/>
  <c r="AI10" i="1"/>
  <c r="AM10" i="1"/>
  <c r="AQ10" i="1"/>
  <c r="AC11" i="1"/>
  <c r="AG11" i="1"/>
  <c r="AK11" i="1"/>
  <c r="AO11" i="1"/>
  <c r="AS11" i="1"/>
  <c r="AE12" i="1"/>
  <c r="AI12" i="1"/>
  <c r="AM12" i="1"/>
  <c r="AQ12" i="1"/>
  <c r="AC13" i="1"/>
  <c r="AG13" i="1"/>
  <c r="AK13" i="1"/>
  <c r="AO13" i="1"/>
  <c r="AS13" i="1"/>
  <c r="AE14" i="1"/>
  <c r="AI14" i="1"/>
  <c r="AM14" i="1"/>
  <c r="AQ14" i="1"/>
  <c r="AC15" i="1"/>
  <c r="AG15" i="1"/>
  <c r="AK15" i="1"/>
  <c r="AO15" i="1"/>
  <c r="AS15" i="1"/>
  <c r="AE16" i="1"/>
  <c r="AI16" i="1"/>
  <c r="AM16" i="1"/>
  <c r="AQ16" i="1"/>
  <c r="AC17" i="1"/>
  <c r="AG17" i="1"/>
  <c r="AK17" i="1"/>
  <c r="AO17" i="1"/>
  <c r="AS17" i="1"/>
  <c r="AE18" i="1"/>
  <c r="AI18" i="1"/>
  <c r="AM18" i="1"/>
  <c r="AQ18" i="1"/>
  <c r="AC19" i="1"/>
  <c r="AG19" i="1"/>
  <c r="AK19" i="1"/>
  <c r="AO19" i="1"/>
  <c r="AS19" i="1"/>
  <c r="AE20" i="1"/>
  <c r="AI20" i="1"/>
  <c r="AM20" i="1"/>
  <c r="AQ20" i="1"/>
  <c r="AC21" i="1"/>
  <c r="AG21" i="1"/>
  <c r="AK21" i="1"/>
  <c r="AO21" i="1"/>
  <c r="AS21" i="1"/>
  <c r="AE22" i="1"/>
  <c r="AI22" i="1"/>
  <c r="AM22" i="1"/>
  <c r="AQ22" i="1"/>
  <c r="AC23" i="1"/>
  <c r="AG23" i="1"/>
  <c r="AK23" i="1"/>
  <c r="AO23" i="1"/>
  <c r="AS23" i="1"/>
  <c r="AE24" i="1"/>
  <c r="AI24" i="1"/>
  <c r="AM24" i="1"/>
  <c r="AQ24" i="1"/>
  <c r="AC25" i="1"/>
  <c r="AG25" i="1"/>
  <c r="AK25" i="1"/>
  <c r="AO25" i="1"/>
  <c r="AS25" i="1"/>
  <c r="AE26" i="1"/>
  <c r="AI26" i="1"/>
  <c r="AM26" i="1"/>
  <c r="AQ26" i="1"/>
  <c r="AC27" i="1"/>
  <c r="AG27" i="1"/>
  <c r="AK27" i="1"/>
  <c r="AO27" i="1"/>
  <c r="AS27" i="1"/>
  <c r="AE28" i="1"/>
  <c r="AI28" i="1"/>
  <c r="AM28" i="1"/>
  <c r="AQ28" i="1"/>
  <c r="AC29" i="1"/>
  <c r="AG29" i="1"/>
  <c r="AK29" i="1"/>
  <c r="AO29" i="1"/>
  <c r="AS29" i="1"/>
  <c r="AE30" i="1"/>
  <c r="AI30" i="1"/>
  <c r="AM30" i="1"/>
  <c r="AQ30" i="1"/>
  <c r="AC31" i="1"/>
  <c r="AG31" i="1"/>
  <c r="AK31" i="1"/>
  <c r="AO31" i="1"/>
  <c r="AS31" i="1"/>
  <c r="AE32" i="1"/>
  <c r="AI32" i="1"/>
  <c r="AM32" i="1"/>
  <c r="AQ32" i="1"/>
  <c r="AC33" i="1"/>
  <c r="AG33" i="1"/>
  <c r="AK33" i="1"/>
  <c r="AO33" i="1"/>
  <c r="AS33" i="1"/>
  <c r="AE34" i="1"/>
  <c r="AI34" i="1"/>
  <c r="AM34" i="1"/>
  <c r="AQ34" i="1"/>
  <c r="AC35" i="1"/>
  <c r="AG35" i="1"/>
  <c r="AK35" i="1"/>
  <c r="AO35" i="1"/>
  <c r="AS35" i="1"/>
  <c r="AL35" i="1"/>
  <c r="AM35" i="1"/>
  <c r="AQ35" i="1"/>
  <c r="AC7" i="1"/>
  <c r="AG7" i="1"/>
  <c r="AK7" i="1"/>
  <c r="AO7" i="1"/>
  <c r="AS7" i="1"/>
  <c r="AD7" i="1"/>
  <c r="AH7" i="1"/>
  <c r="AL7" i="1"/>
  <c r="AP7" i="1"/>
  <c r="AE7" i="1"/>
  <c r="AI7" i="1"/>
  <c r="AM7" i="1"/>
  <c r="AQ7" i="1"/>
  <c r="AF7" i="1"/>
  <c r="AJ7" i="1"/>
  <c r="AN7" i="1"/>
  <c r="AR7" i="1"/>
  <c r="AB7" i="1"/>
  <c r="G23" i="5" l="1"/>
  <c r="G24" i="5" s="1"/>
  <c r="G25" i="5" s="1"/>
  <c r="BA74" i="1"/>
  <c r="BN79" i="1"/>
  <c r="BL79" i="1"/>
  <c r="BR78" i="1"/>
  <c r="BH79" i="1"/>
  <c r="BI79" i="1" s="1"/>
  <c r="AX79" i="1"/>
  <c r="BC79" i="1"/>
  <c r="BD79" i="1" s="1"/>
  <c r="AY79" i="1"/>
  <c r="BQ78" i="1"/>
  <c r="BC78" i="1"/>
  <c r="BD78" i="1" s="1"/>
  <c r="BS78" i="1"/>
  <c r="BT78" i="1" s="1"/>
  <c r="BN78" i="1"/>
  <c r="BF78" i="1"/>
  <c r="BG78" i="1" s="1"/>
  <c r="BA78" i="1"/>
  <c r="AW78" i="1"/>
  <c r="BH77" i="1"/>
  <c r="BI77" i="1" s="1"/>
  <c r="AX77" i="1"/>
  <c r="BQ77" i="1"/>
  <c r="BJ77" i="1"/>
  <c r="BC77" i="1"/>
  <c r="BD77" i="1" s="1"/>
  <c r="AY77" i="1"/>
  <c r="BQ76" i="1"/>
  <c r="BC76" i="1"/>
  <c r="BD76" i="1" s="1"/>
  <c r="BS76" i="1"/>
  <c r="BT76" i="1" s="1"/>
  <c r="BN76" i="1"/>
  <c r="BF76" i="1"/>
  <c r="BG76" i="1" s="1"/>
  <c r="BA76" i="1"/>
  <c r="AW76" i="1"/>
  <c r="BH75" i="1"/>
  <c r="BI75" i="1" s="1"/>
  <c r="BR75" i="1"/>
  <c r="BL75" i="1"/>
  <c r="BE75" i="1"/>
  <c r="AZ75" i="1"/>
  <c r="AV75" i="1"/>
  <c r="BR79" i="1"/>
  <c r="BQ79" i="1"/>
  <c r="BS79" i="1"/>
  <c r="BT79" i="1" s="1"/>
  <c r="BF79" i="1"/>
  <c r="BG79" i="1" s="1"/>
  <c r="AW79" i="1"/>
  <c r="BL78" i="1"/>
  <c r="AZ78" i="1"/>
  <c r="BS77" i="1"/>
  <c r="BT77" i="1" s="1"/>
  <c r="BF77" i="1"/>
  <c r="BG77" i="1" s="1"/>
  <c r="AW77" i="1"/>
  <c r="BL76" i="1"/>
  <c r="AZ76" i="1"/>
  <c r="BS75" i="1"/>
  <c r="BT75" i="1" s="1"/>
  <c r="BB75" i="1"/>
  <c r="BQ75" i="1"/>
  <c r="BJ75" i="1"/>
  <c r="BC75" i="1"/>
  <c r="BD75" i="1" s="1"/>
  <c r="AY75" i="1"/>
  <c r="BS74" i="1"/>
  <c r="BT74" i="1" s="1"/>
  <c r="BN74" i="1"/>
  <c r="BO74" i="1" s="1"/>
  <c r="BF74" i="1"/>
  <c r="BG74" i="1" s="1"/>
  <c r="AW74" i="1"/>
  <c r="BS73" i="1"/>
  <c r="BT73" i="1" s="1"/>
  <c r="AZ79" i="1"/>
  <c r="BJ79" i="1"/>
  <c r="BP79" i="1"/>
  <c r="BB79" i="1"/>
  <c r="BJ78" i="1"/>
  <c r="AY78" i="1"/>
  <c r="BP77" i="1"/>
  <c r="BB77" i="1"/>
  <c r="BJ76" i="1"/>
  <c r="AY76" i="1"/>
  <c r="BP75" i="1"/>
  <c r="AX75" i="1"/>
  <c r="BQ74" i="1"/>
  <c r="BF73" i="1"/>
  <c r="BG73" i="1" s="1"/>
  <c r="BQ73" i="1"/>
  <c r="BA79" i="1"/>
  <c r="BE79" i="1"/>
  <c r="AV79" i="1"/>
  <c r="BE78" i="1"/>
  <c r="AV78" i="1"/>
  <c r="BP78" i="1"/>
  <c r="BH78" i="1"/>
  <c r="BI78" i="1" s="1"/>
  <c r="BB78" i="1"/>
  <c r="AX78" i="1"/>
  <c r="BN77" i="1"/>
  <c r="BA77" i="1"/>
  <c r="BR77" i="1"/>
  <c r="BL77" i="1"/>
  <c r="BE77" i="1"/>
  <c r="AZ77" i="1"/>
  <c r="AV77" i="1"/>
  <c r="BR76" i="1"/>
  <c r="BE76" i="1"/>
  <c r="AV76" i="1"/>
  <c r="BP76" i="1"/>
  <c r="BH76" i="1"/>
  <c r="BI76" i="1" s="1"/>
  <c r="BB76" i="1"/>
  <c r="AX76" i="1"/>
  <c r="BN75" i="1"/>
  <c r="BH74" i="1"/>
  <c r="BI74" i="1" s="1"/>
  <c r="AW73" i="1"/>
  <c r="AW75" i="1"/>
  <c r="BR74" i="1"/>
  <c r="BL74" i="1"/>
  <c r="BM74" i="1" s="1"/>
  <c r="AV74" i="1"/>
  <c r="BE73" i="1"/>
  <c r="BH73" i="1"/>
  <c r="BI73" i="1" s="1"/>
  <c r="AX73" i="1"/>
  <c r="BB72" i="1"/>
  <c r="BL72" i="1"/>
  <c r="BM72" i="1" s="1"/>
  <c r="AZ72" i="1"/>
  <c r="BP71" i="1"/>
  <c r="BC74" i="1"/>
  <c r="BD74" i="1" s="1"/>
  <c r="AX74" i="1"/>
  <c r="BN73" i="1"/>
  <c r="BO73" i="1" s="1"/>
  <c r="BA73" i="1"/>
  <c r="BJ72" i="1"/>
  <c r="AY72" i="1"/>
  <c r="BN71" i="1"/>
  <c r="BO71" i="1" s="1"/>
  <c r="BA71" i="1"/>
  <c r="BJ70" i="1"/>
  <c r="AY70" i="1"/>
  <c r="BF75" i="1"/>
  <c r="BG75" i="1" s="1"/>
  <c r="BP74" i="1"/>
  <c r="AZ74" i="1"/>
  <c r="AV73" i="1"/>
  <c r="BP72" i="1"/>
  <c r="BJ74" i="1"/>
  <c r="BB74" i="1"/>
  <c r="BL73" i="1"/>
  <c r="BM73" i="1" s="1"/>
  <c r="AZ73" i="1"/>
  <c r="BH72" i="1"/>
  <c r="BI72" i="1" s="1"/>
  <c r="AX72" i="1"/>
  <c r="BL71" i="1"/>
  <c r="BM71" i="1" s="1"/>
  <c r="AZ71" i="1"/>
  <c r="BH70" i="1"/>
  <c r="BI70" i="1" s="1"/>
  <c r="AX70" i="1"/>
  <c r="BJ73" i="1"/>
  <c r="BC73" i="1"/>
  <c r="BD73" i="1" s="1"/>
  <c r="AY73" i="1"/>
  <c r="BQ72" i="1"/>
  <c r="BC72" i="1"/>
  <c r="BD72" i="1" s="1"/>
  <c r="BS72" i="1"/>
  <c r="BT72" i="1" s="1"/>
  <c r="BN72" i="1"/>
  <c r="BO72" i="1" s="1"/>
  <c r="BF72" i="1"/>
  <c r="BG72" i="1" s="1"/>
  <c r="BA72" i="1"/>
  <c r="AW72" i="1"/>
  <c r="BS71" i="1"/>
  <c r="BT71" i="1" s="1"/>
  <c r="BF71" i="1"/>
  <c r="BG71" i="1" s="1"/>
  <c r="AW71" i="1"/>
  <c r="BQ71" i="1"/>
  <c r="BJ71" i="1"/>
  <c r="BC71" i="1"/>
  <c r="BD71" i="1" s="1"/>
  <c r="AY71" i="1"/>
  <c r="BQ70" i="1"/>
  <c r="BC70" i="1"/>
  <c r="BD70" i="1" s="1"/>
  <c r="BS70" i="1"/>
  <c r="BT70" i="1" s="1"/>
  <c r="BN70" i="1"/>
  <c r="BO70" i="1" s="1"/>
  <c r="BF70" i="1"/>
  <c r="BG70" i="1" s="1"/>
  <c r="BA70" i="1"/>
  <c r="AW70" i="1"/>
  <c r="BQ69" i="1"/>
  <c r="BJ69" i="1"/>
  <c r="BC69" i="1"/>
  <c r="BD69" i="1" s="1"/>
  <c r="AY69" i="1"/>
  <c r="BS68" i="1"/>
  <c r="BT68" i="1" s="1"/>
  <c r="BN68" i="1"/>
  <c r="BF68" i="1"/>
  <c r="BG68" i="1" s="1"/>
  <c r="BA68" i="1"/>
  <c r="AW68" i="1"/>
  <c r="BQ67" i="1"/>
  <c r="BJ67" i="1"/>
  <c r="BC67" i="1"/>
  <c r="BD67" i="1" s="1"/>
  <c r="AY67" i="1"/>
  <c r="BS66" i="1"/>
  <c r="BT66" i="1" s="1"/>
  <c r="BN66" i="1"/>
  <c r="BF66" i="1"/>
  <c r="BG66" i="1" s="1"/>
  <c r="BA66" i="1"/>
  <c r="AW66" i="1"/>
  <c r="BA75" i="1"/>
  <c r="AY74" i="1"/>
  <c r="BE74" i="1"/>
  <c r="BR73" i="1"/>
  <c r="BP73" i="1"/>
  <c r="BB73" i="1"/>
  <c r="BR72" i="1"/>
  <c r="BE72" i="1"/>
  <c r="AV72" i="1"/>
  <c r="BR71" i="1"/>
  <c r="BE71" i="1"/>
  <c r="AV71" i="1"/>
  <c r="BH71" i="1"/>
  <c r="BI71" i="1" s="1"/>
  <c r="BB71" i="1"/>
  <c r="AX71" i="1"/>
  <c r="BP70" i="1"/>
  <c r="BB70" i="1"/>
  <c r="BR70" i="1"/>
  <c r="BL70" i="1"/>
  <c r="BM70" i="1" s="1"/>
  <c r="BE70" i="1"/>
  <c r="AZ70" i="1"/>
  <c r="AV70" i="1"/>
  <c r="BP69" i="1"/>
  <c r="BH69" i="1"/>
  <c r="BI69" i="1" s="1"/>
  <c r="BB69" i="1"/>
  <c r="AX69" i="1"/>
  <c r="BR68" i="1"/>
  <c r="BL68" i="1"/>
  <c r="BE68" i="1"/>
  <c r="AZ68" i="1"/>
  <c r="AV68" i="1"/>
  <c r="BP67" i="1"/>
  <c r="BH67" i="1"/>
  <c r="BI67" i="1" s="1"/>
  <c r="BB67" i="1"/>
  <c r="AX67" i="1"/>
  <c r="BR66" i="1"/>
  <c r="BL66" i="1"/>
  <c r="BE66" i="1"/>
  <c r="AZ66" i="1"/>
  <c r="AV66" i="1"/>
  <c r="BS69" i="1"/>
  <c r="BT69" i="1" s="1"/>
  <c r="BN69" i="1"/>
  <c r="BO69" i="1" s="1"/>
  <c r="BF69" i="1"/>
  <c r="BG69" i="1" s="1"/>
  <c r="BA69" i="1"/>
  <c r="AW69" i="1"/>
  <c r="BQ68" i="1"/>
  <c r="BJ68" i="1"/>
  <c r="BC68" i="1"/>
  <c r="BD68" i="1" s="1"/>
  <c r="AY68" i="1"/>
  <c r="BS67" i="1"/>
  <c r="BT67" i="1" s="1"/>
  <c r="BN67" i="1"/>
  <c r="BF67" i="1"/>
  <c r="BG67" i="1" s="1"/>
  <c r="BA67" i="1"/>
  <c r="AW67" i="1"/>
  <c r="BQ66" i="1"/>
  <c r="BJ66" i="1"/>
  <c r="BC66" i="1"/>
  <c r="BD66" i="1" s="1"/>
  <c r="AY66" i="1"/>
  <c r="BR69" i="1"/>
  <c r="BL69" i="1"/>
  <c r="BM69" i="1" s="1"/>
  <c r="BE69" i="1"/>
  <c r="AZ69" i="1"/>
  <c r="AV69" i="1"/>
  <c r="BP68" i="1"/>
  <c r="BH68" i="1"/>
  <c r="BI68" i="1" s="1"/>
  <c r="BB68" i="1"/>
  <c r="AX68" i="1"/>
  <c r="BR67" i="1"/>
  <c r="BL67" i="1"/>
  <c r="BE67" i="1"/>
  <c r="AZ67" i="1"/>
  <c r="AV67" i="1"/>
  <c r="BP66" i="1"/>
  <c r="BH66" i="1"/>
  <c r="BI66" i="1" s="1"/>
  <c r="BB66" i="1"/>
  <c r="AX66" i="1"/>
  <c r="BR65" i="1"/>
  <c r="BE65" i="1"/>
  <c r="BP64" i="1"/>
  <c r="BH64" i="1"/>
  <c r="BI64" i="1" s="1"/>
  <c r="BL63" i="1"/>
  <c r="BQ65" i="1"/>
  <c r="BJ65" i="1"/>
  <c r="BC65" i="1"/>
  <c r="BD65" i="1" s="1"/>
  <c r="BS64" i="1"/>
  <c r="BT64" i="1" s="1"/>
  <c r="BN64" i="1"/>
  <c r="BF64" i="1"/>
  <c r="BG64" i="1" s="1"/>
  <c r="BA64" i="1"/>
  <c r="AW64" i="1"/>
  <c r="BQ63" i="1"/>
  <c r="BJ63" i="1"/>
  <c r="BC63" i="1"/>
  <c r="BD63" i="1" s="1"/>
  <c r="AY63" i="1"/>
  <c r="AZ65" i="1"/>
  <c r="AY65" i="1"/>
  <c r="BL65" i="1"/>
  <c r="AV65" i="1"/>
  <c r="BB64" i="1"/>
  <c r="AX64" i="1"/>
  <c r="BR63" i="1"/>
  <c r="BE63" i="1"/>
  <c r="AZ63" i="1"/>
  <c r="AV63" i="1"/>
  <c r="BS65" i="1"/>
  <c r="BT65" i="1" s="1"/>
  <c r="BA65" i="1"/>
  <c r="BQ64" i="1"/>
  <c r="AY64" i="1"/>
  <c r="BS63" i="1"/>
  <c r="BT63" i="1" s="1"/>
  <c r="BF63" i="1"/>
  <c r="BG63" i="1" s="1"/>
  <c r="BA63" i="1"/>
  <c r="BN65" i="1"/>
  <c r="AW65" i="1"/>
  <c r="BC64" i="1"/>
  <c r="BD64" i="1" s="1"/>
  <c r="BN63" i="1"/>
  <c r="AW63" i="1"/>
  <c r="BF65" i="1"/>
  <c r="BG65" i="1" s="1"/>
  <c r="BJ64" i="1"/>
  <c r="BP65" i="1"/>
  <c r="BH65" i="1"/>
  <c r="BI65" i="1" s="1"/>
  <c r="BB65" i="1"/>
  <c r="AX65" i="1"/>
  <c r="BR64" i="1"/>
  <c r="BL64" i="1"/>
  <c r="BE64" i="1"/>
  <c r="AZ64" i="1"/>
  <c r="AV64" i="1"/>
  <c r="BP63" i="1"/>
  <c r="BH63" i="1"/>
  <c r="BI63" i="1" s="1"/>
  <c r="BB63" i="1"/>
  <c r="AX63" i="1"/>
  <c r="BQ62" i="1"/>
  <c r="BJ62" i="1"/>
  <c r="BC62" i="1"/>
  <c r="BD62" i="1" s="1"/>
  <c r="AY62" i="1"/>
  <c r="BP61" i="1"/>
  <c r="BH61" i="1"/>
  <c r="BI61" i="1" s="1"/>
  <c r="BB61" i="1"/>
  <c r="AX61" i="1"/>
  <c r="BS60" i="1"/>
  <c r="BT60" i="1" s="1"/>
  <c r="BN60" i="1"/>
  <c r="BF60" i="1"/>
  <c r="BG60" i="1" s="1"/>
  <c r="BA60" i="1"/>
  <c r="AW60" i="1"/>
  <c r="BR59" i="1"/>
  <c r="BL59" i="1"/>
  <c r="BE59" i="1"/>
  <c r="AZ59" i="1"/>
  <c r="AV59" i="1"/>
  <c r="BQ58" i="1"/>
  <c r="BJ58" i="1"/>
  <c r="BC58" i="1"/>
  <c r="BD58" i="1" s="1"/>
  <c r="AY58" i="1"/>
  <c r="BP62" i="1"/>
  <c r="BH62" i="1"/>
  <c r="BI62" i="1" s="1"/>
  <c r="BB62" i="1"/>
  <c r="AX62" i="1"/>
  <c r="BS61" i="1"/>
  <c r="BT61" i="1" s="1"/>
  <c r="BN61" i="1"/>
  <c r="BF61" i="1"/>
  <c r="BG61" i="1" s="1"/>
  <c r="BA61" i="1"/>
  <c r="AW61" i="1"/>
  <c r="BR60" i="1"/>
  <c r="BL60" i="1"/>
  <c r="BE60" i="1"/>
  <c r="AZ60" i="1"/>
  <c r="AV60" i="1"/>
  <c r="BQ59" i="1"/>
  <c r="BJ59" i="1"/>
  <c r="BC59" i="1"/>
  <c r="BD59" i="1" s="1"/>
  <c r="AY59" i="1"/>
  <c r="BP58" i="1"/>
  <c r="BH58" i="1"/>
  <c r="BI58" i="1" s="1"/>
  <c r="BB58" i="1"/>
  <c r="AX58" i="1"/>
  <c r="BS62" i="1"/>
  <c r="BT62" i="1" s="1"/>
  <c r="BN62" i="1"/>
  <c r="BF62" i="1"/>
  <c r="BG62" i="1" s="1"/>
  <c r="BA62" i="1"/>
  <c r="AW62" i="1"/>
  <c r="BR61" i="1"/>
  <c r="BL61" i="1"/>
  <c r="BE61" i="1"/>
  <c r="AZ61" i="1"/>
  <c r="AV61" i="1"/>
  <c r="BQ60" i="1"/>
  <c r="BJ60" i="1"/>
  <c r="BC60" i="1"/>
  <c r="BD60" i="1" s="1"/>
  <c r="AY60" i="1"/>
  <c r="BP59" i="1"/>
  <c r="BH59" i="1"/>
  <c r="BI59" i="1" s="1"/>
  <c r="BB59" i="1"/>
  <c r="AX59" i="1"/>
  <c r="BS58" i="1"/>
  <c r="BT58" i="1" s="1"/>
  <c r="BN58" i="1"/>
  <c r="BF58" i="1"/>
  <c r="BG58" i="1" s="1"/>
  <c r="BA58" i="1"/>
  <c r="AW58" i="1"/>
  <c r="BR62" i="1"/>
  <c r="BL62" i="1"/>
  <c r="BE62" i="1"/>
  <c r="AZ62" i="1"/>
  <c r="AV62" i="1"/>
  <c r="BQ61" i="1"/>
  <c r="BJ61" i="1"/>
  <c r="BC61" i="1"/>
  <c r="BD61" i="1" s="1"/>
  <c r="AY61" i="1"/>
  <c r="BP60" i="1"/>
  <c r="BH60" i="1"/>
  <c r="BI60" i="1" s="1"/>
  <c r="BB60" i="1"/>
  <c r="AX60" i="1"/>
  <c r="BS59" i="1"/>
  <c r="BT59" i="1" s="1"/>
  <c r="BN59" i="1"/>
  <c r="BF59" i="1"/>
  <c r="BG59" i="1" s="1"/>
  <c r="BA59" i="1"/>
  <c r="AW59" i="1"/>
  <c r="BR58" i="1"/>
  <c r="BL58" i="1"/>
  <c r="BE58" i="1"/>
  <c r="AZ58" i="1"/>
  <c r="AV58" i="1"/>
  <c r="BQ57" i="1"/>
  <c r="BJ57" i="1"/>
  <c r="BC57" i="1"/>
  <c r="BD57" i="1" s="1"/>
  <c r="AY57" i="1"/>
  <c r="BP57" i="1"/>
  <c r="BH57" i="1"/>
  <c r="BI57" i="1" s="1"/>
  <c r="BB57" i="1"/>
  <c r="AX57" i="1"/>
  <c r="BS57" i="1"/>
  <c r="BT57" i="1" s="1"/>
  <c r="BN57" i="1"/>
  <c r="BF57" i="1"/>
  <c r="BG57" i="1" s="1"/>
  <c r="BA57" i="1"/>
  <c r="AW57" i="1"/>
  <c r="BR57" i="1"/>
  <c r="BL57" i="1"/>
  <c r="BE57" i="1"/>
  <c r="AZ57" i="1"/>
  <c r="AV57" i="1"/>
  <c r="AY56" i="1"/>
  <c r="AV56" i="1"/>
  <c r="AZ56" i="1"/>
  <c r="BL56" i="1"/>
  <c r="AX56" i="1"/>
  <c r="BB56" i="1"/>
  <c r="BH56" i="1"/>
  <c r="BI56" i="1" s="1"/>
  <c r="BP56" i="1"/>
  <c r="BC56" i="1"/>
  <c r="BD56" i="1" s="1"/>
  <c r="BJ56" i="1"/>
  <c r="BQ56" i="1"/>
  <c r="BR56" i="1"/>
  <c r="BE56" i="1"/>
  <c r="AW56" i="1"/>
  <c r="BA56" i="1"/>
  <c r="BF56" i="1"/>
  <c r="BG56" i="1" s="1"/>
  <c r="BN56" i="1"/>
  <c r="BS56" i="1"/>
  <c r="BT56" i="1" s="1"/>
  <c r="AX55" i="1"/>
  <c r="BB55" i="1"/>
  <c r="BH55" i="1"/>
  <c r="BI55" i="1" s="1"/>
  <c r="BP55" i="1"/>
  <c r="AY55" i="1"/>
  <c r="BC55" i="1"/>
  <c r="BD55" i="1" s="1"/>
  <c r="BJ55" i="1"/>
  <c r="BQ55" i="1"/>
  <c r="AV55" i="1"/>
  <c r="AZ55" i="1"/>
  <c r="BE55" i="1"/>
  <c r="BL55" i="1"/>
  <c r="BR55" i="1"/>
  <c r="AW55" i="1"/>
  <c r="BA55" i="1"/>
  <c r="BF55" i="1"/>
  <c r="BG55" i="1" s="1"/>
  <c r="BN55" i="1"/>
  <c r="BS55" i="1"/>
  <c r="BT55" i="1" s="1"/>
  <c r="AZ54" i="1"/>
  <c r="AX54" i="1"/>
  <c r="BB54" i="1"/>
  <c r="BH54" i="1"/>
  <c r="BI54" i="1" s="1"/>
  <c r="BP54" i="1"/>
  <c r="AY54" i="1"/>
  <c r="BC54" i="1"/>
  <c r="BD54" i="1" s="1"/>
  <c r="BJ54" i="1"/>
  <c r="BQ54" i="1"/>
  <c r="BE54" i="1"/>
  <c r="BL54" i="1"/>
  <c r="BR54" i="1"/>
  <c r="AV54" i="1"/>
  <c r="AW54" i="1"/>
  <c r="BA54" i="1"/>
  <c r="BF54" i="1"/>
  <c r="BG54" i="1" s="1"/>
  <c r="BN54" i="1"/>
  <c r="BS54" i="1"/>
  <c r="BT54" i="1" s="1"/>
  <c r="AW53" i="1"/>
  <c r="BF53" i="1"/>
  <c r="BG53" i="1" s="1"/>
  <c r="BN53" i="1"/>
  <c r="BB53" i="1"/>
  <c r="BH53" i="1"/>
  <c r="BI53" i="1" s="1"/>
  <c r="BP53" i="1"/>
  <c r="AX53" i="1"/>
  <c r="AV53" i="1"/>
  <c r="AZ53" i="1"/>
  <c r="BE53" i="1"/>
  <c r="BL53" i="1"/>
  <c r="BR53" i="1"/>
  <c r="BA53" i="1"/>
  <c r="BS53" i="1"/>
  <c r="BT53" i="1" s="1"/>
  <c r="BJ53" i="1"/>
  <c r="BQ53" i="1"/>
  <c r="AY53" i="1"/>
  <c r="BC53" i="1"/>
  <c r="BD53" i="1" s="1"/>
  <c r="AV52" i="1"/>
  <c r="AZ52" i="1"/>
  <c r="BL52" i="1"/>
  <c r="AX52" i="1"/>
  <c r="BB52" i="1"/>
  <c r="BH52" i="1"/>
  <c r="BI52" i="1" s="1"/>
  <c r="BP52" i="1"/>
  <c r="AY52" i="1"/>
  <c r="BC52" i="1"/>
  <c r="BD52" i="1" s="1"/>
  <c r="BJ52" i="1"/>
  <c r="BQ52" i="1"/>
  <c r="BR52" i="1"/>
  <c r="BE52" i="1"/>
  <c r="AW52" i="1"/>
  <c r="BA52" i="1"/>
  <c r="BF52" i="1"/>
  <c r="BG52" i="1" s="1"/>
  <c r="BN52" i="1"/>
  <c r="BS52" i="1"/>
  <c r="BT52" i="1" s="1"/>
  <c r="BE51" i="1"/>
  <c r="AX51" i="1"/>
  <c r="BB51" i="1"/>
  <c r="BH51" i="1"/>
  <c r="BI51" i="1" s="1"/>
  <c r="BP51" i="1"/>
  <c r="AY51" i="1"/>
  <c r="BC51" i="1"/>
  <c r="BD51" i="1" s="1"/>
  <c r="BJ51" i="1"/>
  <c r="BQ51" i="1"/>
  <c r="AV51" i="1"/>
  <c r="AZ51" i="1"/>
  <c r="BL51" i="1"/>
  <c r="BR51" i="1"/>
  <c r="AW51" i="1"/>
  <c r="BA51" i="1"/>
  <c r="BF51" i="1"/>
  <c r="BG51" i="1" s="1"/>
  <c r="BN51" i="1"/>
  <c r="BS51" i="1"/>
  <c r="BT51" i="1" s="1"/>
  <c r="AX50" i="1"/>
  <c r="BB50" i="1"/>
  <c r="BH50" i="1"/>
  <c r="BI50" i="1" s="1"/>
  <c r="BP50" i="1"/>
  <c r="AY50" i="1"/>
  <c r="BC50" i="1"/>
  <c r="BD50" i="1" s="1"/>
  <c r="BQ50" i="1"/>
  <c r="BJ50" i="1"/>
  <c r="AW50" i="1"/>
  <c r="BA50" i="1"/>
  <c r="BF50" i="1"/>
  <c r="BG50" i="1" s="1"/>
  <c r="BN50" i="1"/>
  <c r="BS50" i="1"/>
  <c r="BT50" i="1" s="1"/>
  <c r="AV50" i="1"/>
  <c r="AZ50" i="1"/>
  <c r="BE50" i="1"/>
  <c r="BL50" i="1"/>
  <c r="BR50" i="1"/>
  <c r="BP48" i="1"/>
  <c r="BH48" i="1"/>
  <c r="BI48" i="1" s="1"/>
  <c r="BB48" i="1"/>
  <c r="AX48" i="1"/>
  <c r="BS48" i="1"/>
  <c r="BT48" i="1" s="1"/>
  <c r="BN48" i="1"/>
  <c r="BF48" i="1"/>
  <c r="BG48" i="1" s="1"/>
  <c r="BA48" i="1"/>
  <c r="AW48" i="1"/>
  <c r="BR48" i="1"/>
  <c r="BL48" i="1"/>
  <c r="BE48" i="1"/>
  <c r="AZ48" i="1"/>
  <c r="AV48" i="1"/>
  <c r="BJ48" i="1"/>
  <c r="BC48" i="1"/>
  <c r="BD48" i="1" s="1"/>
  <c r="AY48" i="1"/>
  <c r="BQ48" i="1"/>
  <c r="AX42" i="1"/>
  <c r="AV41" i="1"/>
  <c r="BS42" i="1"/>
  <c r="BT42" i="1" s="1"/>
  <c r="BN42" i="1"/>
  <c r="BF42" i="1"/>
  <c r="BG42" i="1" s="1"/>
  <c r="BA42" i="1"/>
  <c r="AW42" i="1"/>
  <c r="BQ41" i="1"/>
  <c r="BJ41" i="1"/>
  <c r="BC41" i="1"/>
  <c r="BD41" i="1" s="1"/>
  <c r="AY41" i="1"/>
  <c r="BH42" i="1"/>
  <c r="BI42" i="1" s="1"/>
  <c r="BL41" i="1"/>
  <c r="AZ41" i="1"/>
  <c r="BR42" i="1"/>
  <c r="BL42" i="1"/>
  <c r="BE42" i="1"/>
  <c r="AZ42" i="1"/>
  <c r="AV42" i="1"/>
  <c r="BP41" i="1"/>
  <c r="BH41" i="1"/>
  <c r="BI41" i="1" s="1"/>
  <c r="BB41" i="1"/>
  <c r="AX41" i="1"/>
  <c r="BB42" i="1"/>
  <c r="BR41" i="1"/>
  <c r="BE41" i="1"/>
  <c r="BQ42" i="1"/>
  <c r="BJ42" i="1"/>
  <c r="BC42" i="1"/>
  <c r="BD42" i="1" s="1"/>
  <c r="AY42" i="1"/>
  <c r="BS41" i="1"/>
  <c r="BT41" i="1" s="1"/>
  <c r="BN41" i="1"/>
  <c r="BF41" i="1"/>
  <c r="BG41" i="1" s="1"/>
  <c r="BA41" i="1"/>
  <c r="AW41" i="1"/>
  <c r="BP42" i="1"/>
  <c r="BS43" i="1"/>
  <c r="BT43" i="1" s="1"/>
  <c r="BN43" i="1"/>
  <c r="BF43" i="1"/>
  <c r="BG43" i="1" s="1"/>
  <c r="BA43" i="1"/>
  <c r="AW43" i="1"/>
  <c r="BR43" i="1"/>
  <c r="BL43" i="1"/>
  <c r="BE43" i="1"/>
  <c r="AZ43" i="1"/>
  <c r="AV43" i="1"/>
  <c r="BQ43" i="1"/>
  <c r="BJ43" i="1"/>
  <c r="BC43" i="1"/>
  <c r="BD43" i="1" s="1"/>
  <c r="AY43" i="1"/>
  <c r="BP43" i="1"/>
  <c r="BH43" i="1"/>
  <c r="BI43" i="1" s="1"/>
  <c r="BB43" i="1"/>
  <c r="AX43" i="1"/>
  <c r="AW44" i="1"/>
  <c r="AX44" i="1"/>
  <c r="BB44" i="1"/>
  <c r="BH44" i="1"/>
  <c r="BI44" i="1" s="1"/>
  <c r="BP44" i="1"/>
  <c r="AY44" i="1"/>
  <c r="BC44" i="1"/>
  <c r="BD44" i="1" s="1"/>
  <c r="BJ44" i="1"/>
  <c r="BQ44" i="1"/>
  <c r="AV44" i="1"/>
  <c r="AZ44" i="1"/>
  <c r="BE44" i="1"/>
  <c r="BL44" i="1"/>
  <c r="BR44" i="1"/>
  <c r="BA44" i="1"/>
  <c r="BF44" i="1"/>
  <c r="BG44" i="1" s="1"/>
  <c r="BN44" i="1"/>
  <c r="BS44" i="1"/>
  <c r="BT44" i="1" s="1"/>
  <c r="BS45" i="1"/>
  <c r="BT45" i="1" s="1"/>
  <c r="BN45" i="1"/>
  <c r="BF45" i="1"/>
  <c r="BG45" i="1" s="1"/>
  <c r="BA45" i="1"/>
  <c r="AW45" i="1"/>
  <c r="BR45" i="1"/>
  <c r="BL45" i="1"/>
  <c r="BE45" i="1"/>
  <c r="AZ45" i="1"/>
  <c r="AV45" i="1"/>
  <c r="BQ45" i="1"/>
  <c r="BJ45" i="1"/>
  <c r="BC45" i="1"/>
  <c r="BD45" i="1" s="1"/>
  <c r="AY45" i="1"/>
  <c r="BP45" i="1"/>
  <c r="BH45" i="1"/>
  <c r="BI45" i="1" s="1"/>
  <c r="BB45" i="1"/>
  <c r="AX45" i="1"/>
  <c r="BL49" i="1"/>
  <c r="BQ49" i="1"/>
  <c r="BJ49" i="1"/>
  <c r="BC49" i="1"/>
  <c r="BD49" i="1" s="1"/>
  <c r="AY49" i="1"/>
  <c r="BS47" i="1"/>
  <c r="BT47" i="1" s="1"/>
  <c r="BN47" i="1"/>
  <c r="BF47" i="1"/>
  <c r="BG47" i="1" s="1"/>
  <c r="BA47" i="1"/>
  <c r="AW47" i="1"/>
  <c r="BQ46" i="1"/>
  <c r="BJ46" i="1"/>
  <c r="BC46" i="1"/>
  <c r="BD46" i="1" s="1"/>
  <c r="AY46" i="1"/>
  <c r="BP49" i="1"/>
  <c r="BH49" i="1"/>
  <c r="BI49" i="1" s="1"/>
  <c r="BB49" i="1"/>
  <c r="AX49" i="1"/>
  <c r="BR47" i="1"/>
  <c r="BL47" i="1"/>
  <c r="BE47" i="1"/>
  <c r="AZ47" i="1"/>
  <c r="AV47" i="1"/>
  <c r="BP46" i="1"/>
  <c r="BH46" i="1"/>
  <c r="BI46" i="1" s="1"/>
  <c r="BB46" i="1"/>
  <c r="AX46" i="1"/>
  <c r="BS49" i="1"/>
  <c r="BT49" i="1" s="1"/>
  <c r="BN49" i="1"/>
  <c r="BF49" i="1"/>
  <c r="BG49" i="1" s="1"/>
  <c r="BA49" i="1"/>
  <c r="AW49" i="1"/>
  <c r="BQ47" i="1"/>
  <c r="BJ47" i="1"/>
  <c r="BC47" i="1"/>
  <c r="BD47" i="1" s="1"/>
  <c r="AY47" i="1"/>
  <c r="BS46" i="1"/>
  <c r="BT46" i="1" s="1"/>
  <c r="BN46" i="1"/>
  <c r="BF46" i="1"/>
  <c r="BG46" i="1" s="1"/>
  <c r="BA46" i="1"/>
  <c r="AW46" i="1"/>
  <c r="BR49" i="1"/>
  <c r="BE49" i="1"/>
  <c r="AZ49" i="1"/>
  <c r="AV49" i="1"/>
  <c r="BP47" i="1"/>
  <c r="BH47" i="1"/>
  <c r="BI47" i="1" s="1"/>
  <c r="BB47" i="1"/>
  <c r="AX47" i="1"/>
  <c r="BR46" i="1"/>
  <c r="BL46" i="1"/>
  <c r="BE46" i="1"/>
  <c r="AZ46" i="1"/>
  <c r="AV46" i="1"/>
  <c r="AV7" i="1"/>
  <c r="BR7" i="1"/>
  <c r="BL7" i="1"/>
  <c r="BE7" i="1"/>
  <c r="AZ7" i="1"/>
  <c r="BQ7" i="1"/>
  <c r="BJ7" i="1"/>
  <c r="BC7" i="1"/>
  <c r="AY7" i="1"/>
  <c r="BP7" i="1"/>
  <c r="BH7" i="1"/>
  <c r="BB7" i="1"/>
  <c r="AX7" i="1"/>
  <c r="BS7" i="1"/>
  <c r="BN7" i="1"/>
  <c r="BF7" i="1"/>
  <c r="BA7" i="1"/>
  <c r="AW7" i="1"/>
  <c r="BQ35" i="1"/>
  <c r="BJ35" i="1"/>
  <c r="BH35" i="1"/>
  <c r="BI35" i="1" s="1"/>
  <c r="BS35" i="1"/>
  <c r="BN35" i="1"/>
  <c r="BF35" i="1"/>
  <c r="BA35" i="1"/>
  <c r="AW35" i="1"/>
  <c r="BQ34" i="1"/>
  <c r="BJ34" i="1"/>
  <c r="BC34" i="1"/>
  <c r="BD34" i="1" s="1"/>
  <c r="AY34" i="1"/>
  <c r="BS33" i="1"/>
  <c r="BN33" i="1"/>
  <c r="BF33" i="1"/>
  <c r="BA33" i="1"/>
  <c r="AW33" i="1"/>
  <c r="BQ32" i="1"/>
  <c r="BJ32" i="1"/>
  <c r="BC32" i="1"/>
  <c r="BD32" i="1" s="1"/>
  <c r="AY32" i="1"/>
  <c r="BS31" i="1"/>
  <c r="BN31" i="1"/>
  <c r="BF31" i="1"/>
  <c r="BA31" i="1"/>
  <c r="AW31" i="1"/>
  <c r="BQ30" i="1"/>
  <c r="BJ30" i="1"/>
  <c r="BC30" i="1"/>
  <c r="BD30" i="1" s="1"/>
  <c r="AY30" i="1"/>
  <c r="BS29" i="1"/>
  <c r="BN29" i="1"/>
  <c r="BF29" i="1"/>
  <c r="BA29" i="1"/>
  <c r="AW29" i="1"/>
  <c r="BQ28" i="1"/>
  <c r="BJ28" i="1"/>
  <c r="BC28" i="1"/>
  <c r="BD28" i="1" s="1"/>
  <c r="AY28" i="1"/>
  <c r="BS27" i="1"/>
  <c r="BN27" i="1"/>
  <c r="BF27" i="1"/>
  <c r="BA27" i="1"/>
  <c r="AW27" i="1"/>
  <c r="BQ26" i="1"/>
  <c r="BJ26" i="1"/>
  <c r="BC26" i="1"/>
  <c r="BD26" i="1" s="1"/>
  <c r="AY26" i="1"/>
  <c r="BS25" i="1"/>
  <c r="BT25" i="1" s="1"/>
  <c r="BN25" i="1"/>
  <c r="BF25" i="1"/>
  <c r="BA25" i="1"/>
  <c r="AW25" i="1"/>
  <c r="BQ24" i="1"/>
  <c r="BJ24" i="1"/>
  <c r="BC24" i="1"/>
  <c r="BD24" i="1" s="1"/>
  <c r="AY24" i="1"/>
  <c r="BS23" i="1"/>
  <c r="BN23" i="1"/>
  <c r="BF23" i="1"/>
  <c r="BA23" i="1"/>
  <c r="AW23" i="1"/>
  <c r="BQ22" i="1"/>
  <c r="BJ22" i="1"/>
  <c r="BC22" i="1"/>
  <c r="BD22" i="1" s="1"/>
  <c r="AY22" i="1"/>
  <c r="BS21" i="1"/>
  <c r="BN21" i="1"/>
  <c r="BF21" i="1"/>
  <c r="BA21" i="1"/>
  <c r="AW21" i="1"/>
  <c r="BQ20" i="1"/>
  <c r="BJ20" i="1"/>
  <c r="BC20" i="1"/>
  <c r="BD20" i="1" s="1"/>
  <c r="AY20" i="1"/>
  <c r="BS19" i="1"/>
  <c r="BN19" i="1"/>
  <c r="BF19" i="1"/>
  <c r="BA19" i="1"/>
  <c r="AW19" i="1"/>
  <c r="BQ18" i="1"/>
  <c r="BJ18" i="1"/>
  <c r="BC18" i="1"/>
  <c r="BD18" i="1" s="1"/>
  <c r="AY18" i="1"/>
  <c r="BS17" i="1"/>
  <c r="BN17" i="1"/>
  <c r="BF17" i="1"/>
  <c r="BA17" i="1"/>
  <c r="AW17" i="1"/>
  <c r="BQ16" i="1"/>
  <c r="BJ16" i="1"/>
  <c r="BC16" i="1"/>
  <c r="BD16" i="1" s="1"/>
  <c r="AY16" i="1"/>
  <c r="BS15" i="1"/>
  <c r="BN15" i="1"/>
  <c r="BF15" i="1"/>
  <c r="BA15" i="1"/>
  <c r="AW15" i="1"/>
  <c r="BQ14" i="1"/>
  <c r="BJ14" i="1"/>
  <c r="BC14" i="1"/>
  <c r="AY14" i="1"/>
  <c r="BS13" i="1"/>
  <c r="BN13" i="1"/>
  <c r="BF13" i="1"/>
  <c r="BA13" i="1"/>
  <c r="AW13" i="1"/>
  <c r="BQ12" i="1"/>
  <c r="BJ12" i="1"/>
  <c r="BC12" i="1"/>
  <c r="AY12" i="1"/>
  <c r="BS11" i="1"/>
  <c r="BN11" i="1"/>
  <c r="BF11" i="1"/>
  <c r="BA11" i="1"/>
  <c r="AW11" i="1"/>
  <c r="BQ10" i="1"/>
  <c r="BJ10" i="1"/>
  <c r="BC10" i="1"/>
  <c r="AY10" i="1"/>
  <c r="BS9" i="1"/>
  <c r="BN9" i="1"/>
  <c r="BF9" i="1"/>
  <c r="BA9" i="1"/>
  <c r="AW9" i="1"/>
  <c r="BQ8" i="1"/>
  <c r="BJ8" i="1"/>
  <c r="BC8" i="1"/>
  <c r="AY8" i="1"/>
  <c r="BR35" i="1"/>
  <c r="BL35" i="1"/>
  <c r="BE35" i="1"/>
  <c r="AZ35" i="1"/>
  <c r="AV35" i="1"/>
  <c r="BP34" i="1"/>
  <c r="BH34" i="1"/>
  <c r="BI34" i="1" s="1"/>
  <c r="BB34" i="1"/>
  <c r="AX34" i="1"/>
  <c r="BR33" i="1"/>
  <c r="BL33" i="1"/>
  <c r="BE33" i="1"/>
  <c r="AZ33" i="1"/>
  <c r="AV33" i="1"/>
  <c r="BP32" i="1"/>
  <c r="BH32" i="1"/>
  <c r="BI32" i="1" s="1"/>
  <c r="BB32" i="1"/>
  <c r="AX32" i="1"/>
  <c r="BR31" i="1"/>
  <c r="BL31" i="1"/>
  <c r="BE31" i="1"/>
  <c r="AZ31" i="1"/>
  <c r="AV31" i="1"/>
  <c r="BP30" i="1"/>
  <c r="BH30" i="1"/>
  <c r="BI30" i="1" s="1"/>
  <c r="BB30" i="1"/>
  <c r="AX30" i="1"/>
  <c r="BR29" i="1"/>
  <c r="BL29" i="1"/>
  <c r="BE29" i="1"/>
  <c r="AZ29" i="1"/>
  <c r="AV29" i="1"/>
  <c r="BP28" i="1"/>
  <c r="BH28" i="1"/>
  <c r="BI28" i="1" s="1"/>
  <c r="BB28" i="1"/>
  <c r="AX28" i="1"/>
  <c r="BR27" i="1"/>
  <c r="BL27" i="1"/>
  <c r="BE27" i="1"/>
  <c r="AZ27" i="1"/>
  <c r="AV27" i="1"/>
  <c r="BP26" i="1"/>
  <c r="BH26" i="1"/>
  <c r="BI26" i="1" s="1"/>
  <c r="BB26" i="1"/>
  <c r="AX26" i="1"/>
  <c r="BR25" i="1"/>
  <c r="BL25" i="1"/>
  <c r="BE25" i="1"/>
  <c r="AZ25" i="1"/>
  <c r="AV25" i="1"/>
  <c r="BP24" i="1"/>
  <c r="BH24" i="1"/>
  <c r="BB24" i="1"/>
  <c r="AX24" i="1"/>
  <c r="BR23" i="1"/>
  <c r="BL23" i="1"/>
  <c r="BE23" i="1"/>
  <c r="AZ23" i="1"/>
  <c r="AV23" i="1"/>
  <c r="BP22" i="1"/>
  <c r="BH22" i="1"/>
  <c r="BB22" i="1"/>
  <c r="AX22" i="1"/>
  <c r="BR21" i="1"/>
  <c r="BL21" i="1"/>
  <c r="BE21" i="1"/>
  <c r="AZ21" i="1"/>
  <c r="AV21" i="1"/>
  <c r="BP20" i="1"/>
  <c r="BH20" i="1"/>
  <c r="BB20" i="1"/>
  <c r="AX20" i="1"/>
  <c r="BR19" i="1"/>
  <c r="BL19" i="1"/>
  <c r="BE19" i="1"/>
  <c r="AZ19" i="1"/>
  <c r="AV19" i="1"/>
  <c r="BP18" i="1"/>
  <c r="BH18" i="1"/>
  <c r="BB18" i="1"/>
  <c r="AX18" i="1"/>
  <c r="BR17" i="1"/>
  <c r="BL17" i="1"/>
  <c r="BE17" i="1"/>
  <c r="AZ17" i="1"/>
  <c r="AV17" i="1"/>
  <c r="BP16" i="1"/>
  <c r="BH16" i="1"/>
  <c r="BB16" i="1"/>
  <c r="AX16" i="1"/>
  <c r="BR15" i="1"/>
  <c r="BL15" i="1"/>
  <c r="BE15" i="1"/>
  <c r="AZ15" i="1"/>
  <c r="AV15" i="1"/>
  <c r="BP14" i="1"/>
  <c r="BH14" i="1"/>
  <c r="BB14" i="1"/>
  <c r="AX14" i="1"/>
  <c r="BR13" i="1"/>
  <c r="BL13" i="1"/>
  <c r="BE13" i="1"/>
  <c r="AZ13" i="1"/>
  <c r="AV13" i="1"/>
  <c r="BP12" i="1"/>
  <c r="BH12" i="1"/>
  <c r="BB12" i="1"/>
  <c r="AX12" i="1"/>
  <c r="BR11" i="1"/>
  <c r="BL11" i="1"/>
  <c r="BE11" i="1"/>
  <c r="AZ11" i="1"/>
  <c r="AV11" i="1"/>
  <c r="BP10" i="1"/>
  <c r="BH10" i="1"/>
  <c r="BB10" i="1"/>
  <c r="AX10" i="1"/>
  <c r="BR9" i="1"/>
  <c r="BL9" i="1"/>
  <c r="BE9" i="1"/>
  <c r="AZ9" i="1"/>
  <c r="AV9" i="1"/>
  <c r="BP8" i="1"/>
  <c r="BH8" i="1"/>
  <c r="BB8" i="1"/>
  <c r="AX8" i="1"/>
  <c r="BC35" i="1"/>
  <c r="BD35" i="1" s="1"/>
  <c r="AY35" i="1"/>
  <c r="BS34" i="1"/>
  <c r="BN34" i="1"/>
  <c r="BF34" i="1"/>
  <c r="BA34" i="1"/>
  <c r="AW34" i="1"/>
  <c r="BQ33" i="1"/>
  <c r="BJ33" i="1"/>
  <c r="BC33" i="1"/>
  <c r="BD33" i="1" s="1"/>
  <c r="AY33" i="1"/>
  <c r="BS32" i="1"/>
  <c r="BN32" i="1"/>
  <c r="BF32" i="1"/>
  <c r="BA32" i="1"/>
  <c r="AW32" i="1"/>
  <c r="BQ31" i="1"/>
  <c r="BJ31" i="1"/>
  <c r="BC31" i="1"/>
  <c r="BD31" i="1" s="1"/>
  <c r="AY31" i="1"/>
  <c r="BS30" i="1"/>
  <c r="BN30" i="1"/>
  <c r="BF30" i="1"/>
  <c r="BA30" i="1"/>
  <c r="AW30" i="1"/>
  <c r="BQ29" i="1"/>
  <c r="BJ29" i="1"/>
  <c r="BC29" i="1"/>
  <c r="BD29" i="1" s="1"/>
  <c r="AY29" i="1"/>
  <c r="BS28" i="1"/>
  <c r="BN28" i="1"/>
  <c r="BF28" i="1"/>
  <c r="BA28" i="1"/>
  <c r="AW28" i="1"/>
  <c r="BQ27" i="1"/>
  <c r="BJ27" i="1"/>
  <c r="BC27" i="1"/>
  <c r="BD27" i="1" s="1"/>
  <c r="AY27" i="1"/>
  <c r="BS26" i="1"/>
  <c r="BN26" i="1"/>
  <c r="BF26" i="1"/>
  <c r="BA26" i="1"/>
  <c r="AW26" i="1"/>
  <c r="BQ25" i="1"/>
  <c r="BJ25" i="1"/>
  <c r="BC25" i="1"/>
  <c r="BD25" i="1" s="1"/>
  <c r="AY25" i="1"/>
  <c r="BS24" i="1"/>
  <c r="BN24" i="1"/>
  <c r="BF24" i="1"/>
  <c r="BA24" i="1"/>
  <c r="AW24" i="1"/>
  <c r="BQ23" i="1"/>
  <c r="BJ23" i="1"/>
  <c r="BC23" i="1"/>
  <c r="BD23" i="1" s="1"/>
  <c r="AY23" i="1"/>
  <c r="BS22" i="1"/>
  <c r="BN22" i="1"/>
  <c r="BF22" i="1"/>
  <c r="BA22" i="1"/>
  <c r="AW22" i="1"/>
  <c r="BQ21" i="1"/>
  <c r="BJ21" i="1"/>
  <c r="BC21" i="1"/>
  <c r="BD21" i="1" s="1"/>
  <c r="AY21" i="1"/>
  <c r="BS20" i="1"/>
  <c r="BN20" i="1"/>
  <c r="BF20" i="1"/>
  <c r="BA20" i="1"/>
  <c r="AW20" i="1"/>
  <c r="BQ19" i="1"/>
  <c r="BJ19" i="1"/>
  <c r="BC19" i="1"/>
  <c r="BD19" i="1" s="1"/>
  <c r="AY19" i="1"/>
  <c r="BS18" i="1"/>
  <c r="BN18" i="1"/>
  <c r="BF18" i="1"/>
  <c r="BA18" i="1"/>
  <c r="AW18" i="1"/>
  <c r="BQ17" i="1"/>
  <c r="BJ17" i="1"/>
  <c r="BC17" i="1"/>
  <c r="BD17" i="1" s="1"/>
  <c r="AY17" i="1"/>
  <c r="BS16" i="1"/>
  <c r="BN16" i="1"/>
  <c r="BF16" i="1"/>
  <c r="BA16" i="1"/>
  <c r="AW16" i="1"/>
  <c r="BQ15" i="1"/>
  <c r="BJ15" i="1"/>
  <c r="BC15" i="1"/>
  <c r="BD15" i="1" s="1"/>
  <c r="AY15" i="1"/>
  <c r="BS14" i="1"/>
  <c r="BN14" i="1"/>
  <c r="BF14" i="1"/>
  <c r="BA14" i="1"/>
  <c r="AW14" i="1"/>
  <c r="BQ13" i="1"/>
  <c r="BJ13" i="1"/>
  <c r="BC13" i="1"/>
  <c r="AY13" i="1"/>
  <c r="BS12" i="1"/>
  <c r="BN12" i="1"/>
  <c r="BF12" i="1"/>
  <c r="BA12" i="1"/>
  <c r="AW12" i="1"/>
  <c r="BQ11" i="1"/>
  <c r="BJ11" i="1"/>
  <c r="BC11" i="1"/>
  <c r="AY11" i="1"/>
  <c r="BS10" i="1"/>
  <c r="BN10" i="1"/>
  <c r="BF10" i="1"/>
  <c r="BA10" i="1"/>
  <c r="AW10" i="1"/>
  <c r="BQ9" i="1"/>
  <c r="BJ9" i="1"/>
  <c r="BC9" i="1"/>
  <c r="AY9" i="1"/>
  <c r="BS8" i="1"/>
  <c r="BN8" i="1"/>
  <c r="BF8" i="1"/>
  <c r="BA8" i="1"/>
  <c r="AW8" i="1"/>
  <c r="BP35" i="1"/>
  <c r="BB35" i="1"/>
  <c r="AX35" i="1"/>
  <c r="BR34" i="1"/>
  <c r="BL34" i="1"/>
  <c r="BE34" i="1"/>
  <c r="AZ34" i="1"/>
  <c r="AV34" i="1"/>
  <c r="BP33" i="1"/>
  <c r="BH33" i="1"/>
  <c r="BI33" i="1" s="1"/>
  <c r="BB33" i="1"/>
  <c r="AX33" i="1"/>
  <c r="BR32" i="1"/>
  <c r="BL32" i="1"/>
  <c r="BE32" i="1"/>
  <c r="AZ32" i="1"/>
  <c r="AV32" i="1"/>
  <c r="BP31" i="1"/>
  <c r="BH31" i="1"/>
  <c r="BI31" i="1" s="1"/>
  <c r="BB31" i="1"/>
  <c r="AX31" i="1"/>
  <c r="BR30" i="1"/>
  <c r="BL30" i="1"/>
  <c r="BE30" i="1"/>
  <c r="AZ30" i="1"/>
  <c r="AV30" i="1"/>
  <c r="BP29" i="1"/>
  <c r="BH29" i="1"/>
  <c r="BI29" i="1" s="1"/>
  <c r="BB29" i="1"/>
  <c r="AX29" i="1"/>
  <c r="BR28" i="1"/>
  <c r="BL28" i="1"/>
  <c r="BE28" i="1"/>
  <c r="AZ28" i="1"/>
  <c r="AV28" i="1"/>
  <c r="BP27" i="1"/>
  <c r="BH27" i="1"/>
  <c r="BI27" i="1" s="1"/>
  <c r="BB27" i="1"/>
  <c r="AX27" i="1"/>
  <c r="BR26" i="1"/>
  <c r="BL26" i="1"/>
  <c r="BE26" i="1"/>
  <c r="AZ26" i="1"/>
  <c r="AV26" i="1"/>
  <c r="BP25" i="1"/>
  <c r="BH25" i="1"/>
  <c r="BI25" i="1" s="1"/>
  <c r="BB25" i="1"/>
  <c r="AX25" i="1"/>
  <c r="BR24" i="1"/>
  <c r="BL24" i="1"/>
  <c r="BE24" i="1"/>
  <c r="AZ24" i="1"/>
  <c r="AV24" i="1"/>
  <c r="BP23" i="1"/>
  <c r="BH23" i="1"/>
  <c r="BB23" i="1"/>
  <c r="AX23" i="1"/>
  <c r="BR22" i="1"/>
  <c r="BL22" i="1"/>
  <c r="BE22" i="1"/>
  <c r="AZ22" i="1"/>
  <c r="AV22" i="1"/>
  <c r="BP21" i="1"/>
  <c r="BH21" i="1"/>
  <c r="BB21" i="1"/>
  <c r="AX21" i="1"/>
  <c r="BR20" i="1"/>
  <c r="BL20" i="1"/>
  <c r="BE20" i="1"/>
  <c r="AZ20" i="1"/>
  <c r="AV20" i="1"/>
  <c r="BP19" i="1"/>
  <c r="BH19" i="1"/>
  <c r="BB19" i="1"/>
  <c r="AX19" i="1"/>
  <c r="BR18" i="1"/>
  <c r="BL18" i="1"/>
  <c r="BE18" i="1"/>
  <c r="AZ18" i="1"/>
  <c r="AV18" i="1"/>
  <c r="BP17" i="1"/>
  <c r="BH17" i="1"/>
  <c r="BB17" i="1"/>
  <c r="AX17" i="1"/>
  <c r="BR16" i="1"/>
  <c r="BL16" i="1"/>
  <c r="BE16" i="1"/>
  <c r="AZ16" i="1"/>
  <c r="AV16" i="1"/>
  <c r="BP15" i="1"/>
  <c r="BH15" i="1"/>
  <c r="BB15" i="1"/>
  <c r="AX15" i="1"/>
  <c r="BR14" i="1"/>
  <c r="BL14" i="1"/>
  <c r="BE14" i="1"/>
  <c r="AZ14" i="1"/>
  <c r="AV14" i="1"/>
  <c r="BP13" i="1"/>
  <c r="BH13" i="1"/>
  <c r="BB13" i="1"/>
  <c r="AX13" i="1"/>
  <c r="BR12" i="1"/>
  <c r="BL12" i="1"/>
  <c r="BE12" i="1"/>
  <c r="AZ12" i="1"/>
  <c r="AV12" i="1"/>
  <c r="BP11" i="1"/>
  <c r="BH11" i="1"/>
  <c r="BB11" i="1"/>
  <c r="AX11" i="1"/>
  <c r="BR10" i="1"/>
  <c r="BL10" i="1"/>
  <c r="BE10" i="1"/>
  <c r="AZ10" i="1"/>
  <c r="AV10" i="1"/>
  <c r="BP9" i="1"/>
  <c r="BH9" i="1"/>
  <c r="BB9" i="1"/>
  <c r="AX9" i="1"/>
  <c r="BR8" i="1"/>
  <c r="BL8" i="1"/>
  <c r="BE8" i="1"/>
  <c r="AZ8" i="1"/>
  <c r="AV8" i="1"/>
  <c r="BS40" i="1"/>
  <c r="BT40" i="1" s="1"/>
  <c r="BN40" i="1"/>
  <c r="BF40" i="1"/>
  <c r="BG40" i="1" s="1"/>
  <c r="BA40" i="1"/>
  <c r="AW40" i="1"/>
  <c r="BP39" i="1"/>
  <c r="BH39" i="1"/>
  <c r="BI39" i="1" s="1"/>
  <c r="BB39" i="1"/>
  <c r="AX39" i="1"/>
  <c r="BQ38" i="1"/>
  <c r="BJ38" i="1"/>
  <c r="BC38" i="1"/>
  <c r="BD38" i="1" s="1"/>
  <c r="AY38" i="1"/>
  <c r="BR40" i="1"/>
  <c r="BL40" i="1"/>
  <c r="BE40" i="1"/>
  <c r="AZ40" i="1"/>
  <c r="AV40" i="1"/>
  <c r="BS39" i="1"/>
  <c r="BT39" i="1" s="1"/>
  <c r="BN39" i="1"/>
  <c r="BF39" i="1"/>
  <c r="BG39" i="1" s="1"/>
  <c r="BA39" i="1"/>
  <c r="AW39" i="1"/>
  <c r="BP38" i="1"/>
  <c r="BH38" i="1"/>
  <c r="BI38" i="1" s="1"/>
  <c r="BB38" i="1"/>
  <c r="AX38" i="1"/>
  <c r="BQ40" i="1"/>
  <c r="BJ40" i="1"/>
  <c r="BC40" i="1"/>
  <c r="BD40" i="1" s="1"/>
  <c r="AY40" i="1"/>
  <c r="BR39" i="1"/>
  <c r="BL39" i="1"/>
  <c r="BE39" i="1"/>
  <c r="AZ39" i="1"/>
  <c r="AV39" i="1"/>
  <c r="BS38" i="1"/>
  <c r="BT38" i="1" s="1"/>
  <c r="BN38" i="1"/>
  <c r="BF38" i="1"/>
  <c r="BG38" i="1" s="1"/>
  <c r="BA38" i="1"/>
  <c r="AW38" i="1"/>
  <c r="BP40" i="1"/>
  <c r="BH40" i="1"/>
  <c r="BI40" i="1" s="1"/>
  <c r="BB40" i="1"/>
  <c r="AX40" i="1"/>
  <c r="BQ39" i="1"/>
  <c r="BJ39" i="1"/>
  <c r="BC39" i="1"/>
  <c r="BD39" i="1" s="1"/>
  <c r="AY39" i="1"/>
  <c r="BR38" i="1"/>
  <c r="BL38" i="1"/>
  <c r="BE38" i="1"/>
  <c r="AZ38" i="1"/>
  <c r="AV38" i="1"/>
  <c r="AW37" i="1"/>
  <c r="BA37" i="1"/>
  <c r="BF37" i="1"/>
  <c r="BG37" i="1" s="1"/>
  <c r="BN37" i="1"/>
  <c r="BS37" i="1"/>
  <c r="BT37" i="1" s="1"/>
  <c r="AX37" i="1"/>
  <c r="BB37" i="1"/>
  <c r="BH37" i="1"/>
  <c r="BI37" i="1" s="1"/>
  <c r="BP37" i="1"/>
  <c r="AY37" i="1"/>
  <c r="BC37" i="1"/>
  <c r="BD37" i="1" s="1"/>
  <c r="BJ37" i="1"/>
  <c r="BQ37" i="1"/>
  <c r="AV37" i="1"/>
  <c r="AZ37" i="1"/>
  <c r="BE37" i="1"/>
  <c r="BL37" i="1"/>
  <c r="BR37" i="1"/>
  <c r="BQ36" i="1"/>
  <c r="BJ36" i="1"/>
  <c r="BC36" i="1"/>
  <c r="BD36" i="1" s="1"/>
  <c r="AY36" i="1"/>
  <c r="BP36" i="1"/>
  <c r="BH36" i="1"/>
  <c r="BI36" i="1" s="1"/>
  <c r="BB36" i="1"/>
  <c r="AX36" i="1"/>
  <c r="BS36" i="1"/>
  <c r="BT36" i="1" s="1"/>
  <c r="BN36" i="1"/>
  <c r="BF36" i="1"/>
  <c r="BG36" i="1" s="1"/>
  <c r="BA36" i="1"/>
  <c r="AW36" i="1"/>
  <c r="BR36" i="1"/>
  <c r="BL36" i="1"/>
  <c r="BE36" i="1"/>
  <c r="AZ36" i="1"/>
  <c r="AV36" i="1"/>
  <c r="D2" i="1"/>
</calcChain>
</file>

<file path=xl/comments1.xml><?xml version="1.0" encoding="utf-8"?>
<comments xmlns="http://schemas.openxmlformats.org/spreadsheetml/2006/main">
  <authors>
    <author>Vincent CRUVELLIER</author>
  </authors>
  <commentList>
    <comment ref="A9" authorId="0">
      <text>
        <r>
          <rPr>
            <b/>
            <sz val="9"/>
            <color indexed="81"/>
            <rFont val="Tahoma"/>
            <family val="2"/>
          </rPr>
          <t>Vincent CRUVELLIER:</t>
        </r>
        <r>
          <rPr>
            <sz val="9"/>
            <color indexed="81"/>
            <rFont val="Tahoma"/>
            <family val="2"/>
          </rPr>
          <t xml:space="preserve">
Row: 1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0"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1" authorId="0">
      <text>
        <r>
          <rPr>
            <b/>
            <sz val="9"/>
            <color indexed="81"/>
            <rFont val="Tahoma"/>
            <family val="2"/>
          </rPr>
          <t>Vincent CRUVELLIER:</t>
        </r>
        <r>
          <rPr>
            <sz val="9"/>
            <color indexed="81"/>
            <rFont val="Tahoma"/>
            <family val="2"/>
          </rPr>
          <t xml:space="preserve">
Row: 4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2" authorId="0">
      <text>
        <r>
          <rPr>
            <b/>
            <sz val="9"/>
            <color indexed="81"/>
            <rFont val="Tahoma"/>
            <family val="2"/>
          </rPr>
          <t>Vincent CRUVELLIER:</t>
        </r>
        <r>
          <rPr>
            <sz val="9"/>
            <color indexed="81"/>
            <rFont val="Tahoma"/>
            <family val="2"/>
          </rPr>
          <t xml:space="preserve">
Row: 4
Hex: C4D36480000410600CA2AA000000000000B0C4D36480000410600CA2AA000000000000B0
Binary:
11000100 11010011 01100100 10000000
00000000 00000100 00010000 01100000
00001100 10100010 10101010 00000000
00000000 00000000 00000000 00000000
00000000 10110000 11000100 11010011
01100100 10000000 00000000 00000100
00010000 01100000 00001100 10100010
10101010 00000000 00000000 00000000
00000000 00000000 00000000 10110000
</t>
        </r>
      </text>
    </comment>
    <comment ref="A13"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4" authorId="0">
      <text>
        <r>
          <rPr>
            <b/>
            <sz val="9"/>
            <color indexed="81"/>
            <rFont val="Tahoma"/>
            <family val="2"/>
          </rPr>
          <t>Vincent CRUVELLIER:</t>
        </r>
        <r>
          <rPr>
            <sz val="9"/>
            <color indexed="81"/>
            <rFont val="Tahoma"/>
            <family val="2"/>
          </rPr>
          <t xml:space="preserve">
Row: 2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5" authorId="0">
      <text>
        <r>
          <rPr>
            <b/>
            <sz val="9"/>
            <color indexed="81"/>
            <rFont val="Tahoma"/>
            <family val="2"/>
          </rPr>
          <t>Vincent CRUVELLIER:</t>
        </r>
        <r>
          <rPr>
            <sz val="9"/>
            <color indexed="81"/>
            <rFont val="Tahoma"/>
            <family val="2"/>
          </rPr>
          <t xml:space="preserve">
Row: 2
Hex: C4D36480000410A00CA28600000000000018C4D36480000410A00CA28600000000000018
Binary:
11000100 11010011 01100100 10000000
00000000 00000100 00010000 10100000
00001100 10100010 10000110 00000000
00000000 00000000 00000000 00000000
00000000 00011000 11000100 11010011
01100100 10000000 00000000 00000100
00010000 10100000 00001100 10100010
10000110 00000000 00000000 00000000
00000000 00000000 00000000 00011000
</t>
        </r>
      </text>
    </comment>
    <comment ref="A16" authorId="0">
      <text>
        <r>
          <rPr>
            <b/>
            <sz val="9"/>
            <color indexed="81"/>
            <rFont val="Tahoma"/>
            <family val="2"/>
          </rPr>
          <t>Vincent CRUVELLIER:</t>
        </r>
        <r>
          <rPr>
            <sz val="9"/>
            <color indexed="81"/>
            <rFont val="Tahoma"/>
            <family val="2"/>
          </rPr>
          <t xml:space="preserve">
Row: 2
Hex: C4D36480000010A00CA2860000000000001FC4D36480000010A00CA2860000000000001F
Binary:
11000100 11010011 01100100 10000000
00000000 00000000 00010000 10100000
00001100 10100010 10000110 00000000
00000000 00000000 00000000 00000000
00000000 00011111 11000100 11010011
01100100 10000000 00000000 00000000
00010000 10100000 00001100 10100010
10000110 00000000 00000000 00000000
00000000 00000000 00000000 00011111
</t>
        </r>
      </text>
    </comment>
    <comment ref="A17"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18" authorId="0">
      <text>
        <r>
          <rPr>
            <b/>
            <sz val="9"/>
            <color indexed="81"/>
            <rFont val="Tahoma"/>
            <family val="2"/>
          </rPr>
          <t>Vincent CRUVELLIER:</t>
        </r>
        <r>
          <rPr>
            <sz val="9"/>
            <color indexed="81"/>
            <rFont val="Tahoma"/>
            <family val="2"/>
          </rPr>
          <t xml:space="preserve">
Row: 2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19"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20" authorId="0">
      <text>
        <r>
          <rPr>
            <b/>
            <sz val="9"/>
            <color indexed="81"/>
            <rFont val="Tahoma"/>
            <family val="2"/>
          </rPr>
          <t>Vincent CRUVELLIER:</t>
        </r>
        <r>
          <rPr>
            <sz val="9"/>
            <color indexed="81"/>
            <rFont val="Tahoma"/>
            <family val="2"/>
          </rPr>
          <t xml:space="preserve">
Row: 1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21"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2" authorId="0">
      <text>
        <r>
          <rPr>
            <b/>
            <sz val="9"/>
            <color indexed="81"/>
            <rFont val="Tahoma"/>
            <family val="2"/>
          </rPr>
          <t>Vincent CRUVELLIER:</t>
        </r>
        <r>
          <rPr>
            <sz val="9"/>
            <color indexed="81"/>
            <rFont val="Tahoma"/>
            <family val="2"/>
          </rPr>
          <t xml:space="preserve">
Row: 1
Hex: C4D36480000410E00CA2C600000000000038C4D36480000410E00CA2C600000000000038
Binary:
11000100 11010011 01100100 10000000
00000000 00000100 00010000 11100000
00001100 10100010 11000110 00000000
00000000 00000000 00000000 00000000
00000000 00111000 11000100 11010011
01100100 10000000 00000000 00000100
00010000 11100000 00001100 10100010
11000110 00000000 00000000 00000000
00000000 00000000 00000000 00111000
</t>
        </r>
      </text>
    </comment>
    <comment ref="A23"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4" authorId="0">
      <text>
        <r>
          <rPr>
            <b/>
            <sz val="9"/>
            <color indexed="81"/>
            <rFont val="Tahoma"/>
            <family val="2"/>
          </rPr>
          <t>Vincent CRUVELLIER:</t>
        </r>
        <r>
          <rPr>
            <sz val="9"/>
            <color indexed="81"/>
            <rFont val="Tahoma"/>
            <family val="2"/>
          </rPr>
          <t xml:space="preserve">
Row: 1
Hex: C4D36480000010600CA2C6000000000000DFC4D36480000010600CA2C6000000000000DF
Binary:
11000100 11010011 01100100 10000000
00000000 00000000 00010000 01100000
00001100 10100010 11000110 00000000
00000000 00000000 00000000 00000000
00000000 11011111 11000100 11010011
01100100 10000000 00000000 00000000
00010000 01100000 00001100 10100010
11000110 00000000 00000000 00000000
00000000 00000000 00000000 11011111
</t>
        </r>
      </text>
    </comment>
    <comment ref="A25" authorId="0">
      <text>
        <r>
          <rPr>
            <b/>
            <sz val="9"/>
            <color indexed="81"/>
            <rFont val="Tahoma"/>
            <family val="2"/>
          </rPr>
          <t>Vincent CRUVELLIER:</t>
        </r>
        <r>
          <rPr>
            <sz val="9"/>
            <color indexed="81"/>
            <rFont val="Tahoma"/>
            <family val="2"/>
          </rPr>
          <t xml:space="preserve">
Row: 11
Hex: C4D36480000410600CA22600000000000038C4D36480000410600CA22600000000000038
Binary:
11000100 11010011 01100100 10000000
00000000 00000100 00010000 01100000
00001100 10100010 00100110 00000000
00000000 00000000 00000000 00000000
00000000 00111000 11000100 11010011
01100100 10000000 00000000 00000100
00010000 01100000 00001100 10100010
00100110 00000000 00000000 00000000
00000000 00000000 00000000 00111000
</t>
        </r>
      </text>
    </comment>
    <comment ref="A26" authorId="0">
      <text>
        <r>
          <rPr>
            <b/>
            <sz val="9"/>
            <color indexed="81"/>
            <rFont val="Tahoma"/>
            <family val="2"/>
          </rPr>
          <t>Vincent CRUVELLIER:</t>
        </r>
        <r>
          <rPr>
            <sz val="9"/>
            <color indexed="81"/>
            <rFont val="Tahoma"/>
            <family val="2"/>
          </rPr>
          <t xml:space="preserve">
Row: 10
Hex: C4D36480000410E00CA226000000000000B8C4D36480000410E00CA226000000000000B8
Binary:
11000100 11010011 01100100 10000000
00000000 00000100 00010000 11100000
00001100 10100010 00100110 00000000
00000000 00000000 00000000 00000000
00000000 10111000 11000100 11010011
01100100 10000000 00000000 00000100
00010000 11100000 00001100 10100010
00100110 00000000 00000000 00000000
00000000 00000000 00000000 10111000
</t>
        </r>
      </text>
    </comment>
    <comment ref="A27" authorId="0">
      <text>
        <r>
          <rPr>
            <b/>
            <sz val="9"/>
            <color indexed="81"/>
            <rFont val="Tahoma"/>
            <family val="2"/>
          </rPr>
          <t>Vincent CRUVELLIER:</t>
        </r>
        <r>
          <rPr>
            <sz val="9"/>
            <color indexed="81"/>
            <rFont val="Tahoma"/>
            <family val="2"/>
          </rPr>
          <t xml:space="preserve">
Row: 9
Hex: C4D36480000410100CA22600000000000078C4D36480000410100CA22600000000000078
Binary:
11000100 11010011 01100100 10000000
00000000 00000100 00010000 00010000
00001100 10100010 00100110 00000000
00000000 00000000 00000000 00000000
00000000 01111000 11000100 11010011
01100100 10000000 00000000 00000100
00010000 00010000 00001100 10100010
00100110 00000000 00000000 00000000
00000000 00000000 00000000 01111000
</t>
        </r>
      </text>
    </comment>
    <comment ref="A28" authorId="0">
      <text>
        <r>
          <rPr>
            <b/>
            <sz val="9"/>
            <color indexed="81"/>
            <rFont val="Tahoma"/>
            <family val="2"/>
          </rPr>
          <t>Vincent CRUVELLIER:</t>
        </r>
        <r>
          <rPr>
            <sz val="9"/>
            <color indexed="81"/>
            <rFont val="Tahoma"/>
            <family val="2"/>
          </rPr>
          <t xml:space="preserve">
Row: 8
Hex: C4D36480000410900CA226000000000000F8C4D36480000410900CA226000000000000F8
Binary:
11000100 11010011 01100100 10000000
00000000 00000100 00010000 10010000
00001100 10100010 00100110 00000000
00000000 00000000 00000000 00000000
00000000 11111000 11000100 11010011
01100100 10000000 00000000 00000100
00010000 10010000 00001100 10100010
00100110 00000000 00000000 00000000
00000000 00000000 00000000 11111000
</t>
        </r>
      </text>
    </comment>
    <comment ref="A29" authorId="0">
      <text>
        <r>
          <rPr>
            <b/>
            <sz val="9"/>
            <color indexed="81"/>
            <rFont val="Tahoma"/>
            <family val="2"/>
          </rPr>
          <t>Vincent CRUVELLIER:</t>
        </r>
        <r>
          <rPr>
            <sz val="9"/>
            <color indexed="81"/>
            <rFont val="Tahoma"/>
            <family val="2"/>
          </rPr>
          <t xml:space="preserve">
Row: 7
Hex: C4D36480000410500CA22600000000000004C4D36480000410500CA22600000000000004
Binary:
11000100 11010011 01100100 10000000
00000000 00000100 00010000 01010000
00001100 10100010 00100110 00000000
00000000 00000000 00000000 00000000
00000000 00000100 11000100 11010011
01100100 10000000 00000000 00000100
00010000 01010000 00001100 10100010
00100110 00000000 00000000 00000000
00000000 00000000 00000000 00000100
</t>
        </r>
      </text>
    </comment>
    <comment ref="A30" authorId="0">
      <text>
        <r>
          <rPr>
            <b/>
            <sz val="9"/>
            <color indexed="81"/>
            <rFont val="Tahoma"/>
            <family val="2"/>
          </rPr>
          <t>Vincent CRUVELLIER:</t>
        </r>
        <r>
          <rPr>
            <sz val="9"/>
            <color indexed="81"/>
            <rFont val="Tahoma"/>
            <family val="2"/>
          </rPr>
          <t xml:space="preserve">
Row: 6
Hex: C4D36480000410D00CA22600000000000084C4D36480000410D00CA22600000000000084
Binary:
11000100 11010011 01100100 10000000
00000000 00000100 00010000 11010000
00001100 10100010 00100110 00000000
00000000 00000000 00000000 00000000
00000000 10000100 11000100 11010011
01100100 10000000 00000000 00000100
00010000 11010000 00001100 10100010
00100110 00000000 00000000 00000000
00000000 00000000 00000000 10000100
</t>
        </r>
      </text>
    </comment>
    <comment ref="A31" authorId="0">
      <text>
        <r>
          <rPr>
            <b/>
            <sz val="9"/>
            <color indexed="81"/>
            <rFont val="Tahoma"/>
            <family val="2"/>
          </rPr>
          <t>Vincent CRUVELLIER:</t>
        </r>
        <r>
          <rPr>
            <sz val="9"/>
            <color indexed="81"/>
            <rFont val="Tahoma"/>
            <family val="2"/>
          </rPr>
          <t xml:space="preserve">
Row: 5
Hex: C4D36480000410300CA22600000000000044C4D36480000410300CA22600000000000044
Binary:
11000100 11010011 01100100 10000000
00000000 00000100 00010000 00110000
00001100 10100010 00100110 00000000
00000000 00000000 00000000 00000000
00000000 01000100 11000100 11010011
01100100 10000000 00000000 00000100
00010000 00110000 00001100 10100010
00100110 00000000 00000000 00000000
00000000 00000000 00000000 01000100
</t>
        </r>
      </text>
    </comment>
    <comment ref="A32" authorId="0">
      <text>
        <r>
          <rPr>
            <b/>
            <sz val="9"/>
            <color indexed="81"/>
            <rFont val="Tahoma"/>
            <family val="2"/>
          </rPr>
          <t>Vincent CRUVELLIER:</t>
        </r>
        <r>
          <rPr>
            <sz val="9"/>
            <color indexed="81"/>
            <rFont val="Tahoma"/>
            <family val="2"/>
          </rPr>
          <t xml:space="preserve">
Row: 4
Hex: C4D36480000410B00CA226000000000000C4C4D36480000410B00CA226000000000000C4
Binary:
11000100 11010011 01100100 10000000
00000000 00000100 00010000 10110000
00001100 10100010 00100110 00000000
00000000 00000000 00000000 00000000
00000000 11000100 11000100 11010011
01100100 10000000 00000000 00000100
00010000 10110000 00001100 10100010
00100110 00000000 00000000 00000000
00000000 00000000 00000000 11000100
</t>
        </r>
      </text>
    </comment>
    <comment ref="A33" authorId="0">
      <text>
        <r>
          <rPr>
            <b/>
            <sz val="9"/>
            <color indexed="81"/>
            <rFont val="Tahoma"/>
            <family val="2"/>
          </rPr>
          <t>Vincent CRUVELLIER:</t>
        </r>
        <r>
          <rPr>
            <sz val="9"/>
            <color indexed="81"/>
            <rFont val="Tahoma"/>
            <family val="2"/>
          </rPr>
          <t xml:space="preserve">
Row: 3
Hex: C4D36480000410700CA22600000000000024C4D36480000410700CA22600000000000024
Binary:
11000100 11010011 01100100 10000000
00000000 00000100 00010000 01110000
00001100 10100010 00100110 00000000
00000000 00000000 00000000 00000000
00000000 00100100 11000100 11010011
01100100 10000000 00000000 00000100
00010000 01110000 00001100 10100010
00100110 00000000 00000000 00000000
00000000 00000000 00000000 00100100
</t>
        </r>
      </text>
    </comment>
    <comment ref="A34" authorId="0">
      <text>
        <r>
          <rPr>
            <b/>
            <sz val="9"/>
            <color indexed="81"/>
            <rFont val="Tahoma"/>
            <family val="2"/>
          </rPr>
          <t>Vincent CRUVELLIER:</t>
        </r>
        <r>
          <rPr>
            <sz val="9"/>
            <color indexed="81"/>
            <rFont val="Tahoma"/>
            <family val="2"/>
          </rPr>
          <t xml:space="preserve">
Row: 2
Hex: C4D36480000410F00CA126000000000000A6C4D36480000410F00CA126000000000000A6
Binary:
11000100 11010011 01100100 10000000
00000000 00000100 00010000 11110000
00001100 10100001 00100110 00000000
00000000 00000000 00000000 00000000
00000000 10100110 11000100 11010011
01100100 10000000 00000000 00000100
00010000 11110000 00001100 10100001
00100110 00000000 00000000 00000000
00000000 00000000 00000000 10100110
</t>
        </r>
      </text>
    </comment>
    <comment ref="A35" authorId="0">
      <text>
        <r>
          <rPr>
            <b/>
            <sz val="9"/>
            <color indexed="81"/>
            <rFont val="Tahoma"/>
            <family val="2"/>
          </rPr>
          <t>Vincent CRUVELLIER:</t>
        </r>
        <r>
          <rPr>
            <sz val="9"/>
            <color indexed="81"/>
            <rFont val="Tahoma"/>
            <family val="2"/>
          </rPr>
          <t xml:space="preserve">
Row: 1
Hex: C4D36480000010F00CA226000000000000A0C4D36480000010F00CA226000000000000A0
Binary:
11000100 11010011 01100100 10000000
00000000 00000000 00010000 11110000
00001100 10100010 00100110 00000000
00000000 00000000 00000000 00000000
00000000 10100000 11000100 11010011
01100100 10000000 00000000 00000000
00010000 11110000 00001100 10100010
00100110 00000000 00000000 00000000
00000000 00000000 00000000 10100000
</t>
        </r>
      </text>
    </comment>
    <comment ref="A36" authorId="0">
      <text>
        <r>
          <rPr>
            <b/>
            <sz val="9"/>
            <color indexed="81"/>
            <rFont val="Tahoma"/>
            <family val="2"/>
          </rPr>
          <t>Vincent CRUVELLIER:</t>
        </r>
        <r>
          <rPr>
            <sz val="9"/>
            <color indexed="81"/>
            <rFont val="Tahoma"/>
            <family val="2"/>
          </rPr>
          <t xml:space="preserve">
Row: 1
Hex: C4D36480000410600CA2E6000000000000F8C4D36480000410600CA2E6000000000000F8
Binary:
11000100 11010011 01100100 10000000
00000000 00000100 00010000 01100000
00001100 10100010 11100110 00000000
00000000 00000000 00000000 00000000
00000000 11111000 11000100 11010011
01100100 10000000 00000000 00000100
00010000 01100000 00001100 10100010
11100110 00000000 00000000 00000000
00000000 00000000 00000000 11111000
</t>
        </r>
      </text>
    </comment>
    <comment ref="A3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8" authorId="0">
      <text>
        <r>
          <rPr>
            <b/>
            <sz val="9"/>
            <color indexed="81"/>
            <rFont val="Tahoma"/>
            <family val="2"/>
          </rPr>
          <t>Vincent CRUVELLIER:</t>
        </r>
        <r>
          <rPr>
            <sz val="9"/>
            <color indexed="81"/>
            <rFont val="Tahoma"/>
            <family val="2"/>
          </rPr>
          <t xml:space="preserve">
Row: 2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0"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1"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2"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3" authorId="0">
      <text>
        <r>
          <rPr>
            <b/>
            <sz val="9"/>
            <color indexed="81"/>
            <rFont val="Tahoma"/>
            <family val="2"/>
          </rPr>
          <t>Vincent CRUVELLIER:</t>
        </r>
        <r>
          <rPr>
            <sz val="9"/>
            <color indexed="81"/>
            <rFont val="Tahoma"/>
            <family val="2"/>
          </rPr>
          <t xml:space="preserve">
Row: 7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4" authorId="0">
      <text>
        <r>
          <rPr>
            <b/>
            <sz val="9"/>
            <color indexed="81"/>
            <rFont val="Tahoma"/>
            <family val="2"/>
          </rPr>
          <t>Vincent CRUVELLIER:</t>
        </r>
        <r>
          <rPr>
            <sz val="9"/>
            <color indexed="81"/>
            <rFont val="Tahoma"/>
            <family val="2"/>
          </rPr>
          <t xml:space="preserve">
Row: 6
Hex: C4D36480000410600C821600000000000038C4D36480000410600C821600000000000038
Binary:
11000100 11010011 01100100 10000000
00000000 00000100 00010000 01100000
00001100 10000010 00010110 00000000
00000000 00000000 00000000 00000000
00000000 00111000 11000100 11010011
01100100 10000000 00000000 00000100
00010000 01100000 00001100 10000010
00010110 00000000 00000000 00000000
00000000 00000000 00000000 00111000
</t>
        </r>
      </text>
    </comment>
    <comment ref="A45" authorId="0">
      <text>
        <r>
          <rPr>
            <b/>
            <sz val="9"/>
            <color indexed="81"/>
            <rFont val="Tahoma"/>
            <family val="2"/>
          </rPr>
          <t>Vincent CRUVELLIER:</t>
        </r>
        <r>
          <rPr>
            <sz val="9"/>
            <color indexed="81"/>
            <rFont val="Tahoma"/>
            <family val="2"/>
          </rPr>
          <t xml:space="preserve">
Row: 5
Hex: C4D36480000410600C4216000000000000B8C4D36480000410600C4216000000000000B8
Binary:
11000100 11010011 01100100 10000000
00000000 00000100 00010000 01100000
00001100 01000010 00010110 00000000
00000000 00000000 00000000 00000000
00000000 10111000 11000100 11010011
01100100 10000000 00000000 00000100
00010000 01100000 00001100 01000010
00010110 00000000 00000000 00000000
00000000 00000000 00000000 10111000
</t>
        </r>
      </text>
    </comment>
    <comment ref="A46" authorId="0">
      <text>
        <r>
          <rPr>
            <b/>
            <sz val="9"/>
            <color indexed="81"/>
            <rFont val="Tahoma"/>
            <family val="2"/>
          </rPr>
          <t>Vincent CRUVELLIER:</t>
        </r>
        <r>
          <rPr>
            <sz val="9"/>
            <color indexed="81"/>
            <rFont val="Tahoma"/>
            <family val="2"/>
          </rPr>
          <t xml:space="preserve">
Row: 4
Hex: C4D36480000410600CC21600000000000078C4D36480000410600CC21600000000000078
Binary:
11000100 11010011 01100100 10000000
00000000 00000100 00010000 01100000
00001100 11000010 00010110 00000000
00000000 00000000 00000000 00000000
00000000 01111000 11000100 11010011
01100100 10000000 00000000 00000100
00010000 01100000 00001100 11000010
00010110 00000000 00000000 00000000
00000000 00000000 00000000 01111000
</t>
        </r>
      </text>
    </comment>
    <comment ref="A47" authorId="0">
      <text>
        <r>
          <rPr>
            <b/>
            <sz val="9"/>
            <color indexed="81"/>
            <rFont val="Tahoma"/>
            <family val="2"/>
          </rPr>
          <t>Vincent CRUVELLIER:</t>
        </r>
        <r>
          <rPr>
            <sz val="9"/>
            <color indexed="81"/>
            <rFont val="Tahoma"/>
            <family val="2"/>
          </rPr>
          <t xml:space="preserve">
Row: 3
Hex: C4D36480000410600C2216000000000000F8C4D36480000410600C2216000000000000F8
Binary:
11000100 11010011 01100100 10000000
00000000 00000100 00010000 01100000
00001100 00100010 00010110 00000000
00000000 00000000 00000000 00000000
00000000 11111000 11000100 11010011
01100100 10000000 00000000 00000100
00010000 01100000 00001100 00100010
00010110 00000000 00000000 00000000
00000000 00000000 00000000 11111000
</t>
        </r>
      </text>
    </comment>
    <comment ref="A48"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4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0" authorId="0">
      <text>
        <r>
          <rPr>
            <b/>
            <sz val="9"/>
            <color indexed="81"/>
            <rFont val="Tahoma"/>
            <family val="2"/>
          </rPr>
          <t>Vincent CRUVELLIER:</t>
        </r>
        <r>
          <rPr>
            <sz val="9"/>
            <color indexed="81"/>
            <rFont val="Tahoma"/>
            <family val="2"/>
          </rPr>
          <t xml:space="preserve">
Row: 6
Hex: C4D36480000410600C1216000000000000C4C4D36480000410600C1216000000000000C4
Binary:
11000100 11010011 01100100 10000000
00000000 00000100 00010000 01100000
00001100 00010010 00010110 00000000
00000000 00000000 00000000 00000000
00000000 11000100 11000100 11010011
01100100 10000000 00000000 00000100
00010000 01100000 00001100 00010010
00010110 00000000 00000000 00000000
00000000 00000000 00000000 11000100
</t>
        </r>
      </text>
    </comment>
    <comment ref="A51" authorId="0">
      <text>
        <r>
          <rPr>
            <b/>
            <sz val="9"/>
            <color indexed="81"/>
            <rFont val="Tahoma"/>
            <family val="2"/>
          </rPr>
          <t>Vincent CRUVELLIER:</t>
        </r>
        <r>
          <rPr>
            <sz val="9"/>
            <color indexed="81"/>
            <rFont val="Tahoma"/>
            <family val="2"/>
          </rPr>
          <t xml:space="preserve">
Row: 5
Hex: C4D36480000410600C0A16000000000000D4C4D36480000410600C0A16000000000000D4
Binary:
11000100 11010011 01100100 10000000
00000000 00000100 00010000 01100000
00001100 00001010 00010110 00000000
00000000 00000000 00000000 00000000
00000000 11010100 11000100 11010011
01100100 10000000 00000000 00000100
00010000 01100000 00001100 00001010
00010110 00000000 00000000 00000000
00000000 00000000 00000000 11010100
</t>
        </r>
      </text>
    </comment>
    <comment ref="A52" authorId="0">
      <text>
        <r>
          <rPr>
            <b/>
            <sz val="9"/>
            <color indexed="81"/>
            <rFont val="Tahoma"/>
            <family val="2"/>
          </rPr>
          <t>Vincent CRUVELLIER:</t>
        </r>
        <r>
          <rPr>
            <sz val="9"/>
            <color indexed="81"/>
            <rFont val="Tahoma"/>
            <family val="2"/>
          </rPr>
          <t xml:space="preserve">
Row: 4
Hex: C4D36480000410600C1A16000000000000CCC4D36480000410600C1A16000000000000CC
Binary:
11000100 11010011 01100100 10000000
00000000 00000100 00010000 01100000
00001100 00011010 00010110 00000000
00000000 00000000 00000000 00000000
00000000 11001100 11000100 11010011
01100100 10000000 00000000 00000100
00010000 01100000 00001100 00011010
00010110 00000000 00000000 00000000
00000000 00000000 00000000 11001100
</t>
        </r>
      </text>
    </comment>
    <comment ref="A53" authorId="0">
      <text>
        <r>
          <rPr>
            <b/>
            <sz val="9"/>
            <color indexed="81"/>
            <rFont val="Tahoma"/>
            <family val="2"/>
          </rPr>
          <t>Vincent CRUVELLIER:</t>
        </r>
        <r>
          <rPr>
            <sz val="9"/>
            <color indexed="81"/>
            <rFont val="Tahoma"/>
            <family val="2"/>
          </rPr>
          <t xml:space="preserve">
Row: 3
Hex: C4D36480000410600C0616000000000000DCC4D36480000410600C0616000000000000DC
Binary:
11000100 11010011 01100100 10000000
00000000 00000100 00010000 01100000
00001100 00000110 00010110 00000000
00000000 00000000 00000000 00000000
00000000 11011100 11000100 11010011
01100100 10000000 00000000 00000100
00010000 01100000 00001100 00000110
00010110 00000000 00000000 00000000
00000000 00000000 00000000 11011100
</t>
        </r>
      </text>
    </comment>
    <comment ref="A54" authorId="0">
      <text>
        <r>
          <rPr>
            <b/>
            <sz val="9"/>
            <color indexed="81"/>
            <rFont val="Tahoma"/>
            <family val="2"/>
          </rPr>
          <t>Vincent CRUVELLIER:</t>
        </r>
        <r>
          <rPr>
            <sz val="9"/>
            <color indexed="81"/>
            <rFont val="Tahoma"/>
            <family val="2"/>
          </rPr>
          <t xml:space="preserve">
Row: 2
Hex: C4D36480000410600C1616000000000000C2C4D36480000410600C1616000000000000C2
Binary:
11000100 11010011 01100100 10000000
00000000 00000100 00010000 01100000
00001100 00010110 00010110 00000000
00000000 00000000 00000000 00000000
00000000 11000010 11000100 11010011
01100100 10000000 00000000 00000100
00010000 01100000 00001100 00010110
00010110 00000000 00000000 00000000
00000000 00000000 00000000 11000010
</t>
        </r>
      </text>
    </comment>
    <comment ref="A55" authorId="0">
      <text>
        <r>
          <rPr>
            <b/>
            <sz val="9"/>
            <color indexed="81"/>
            <rFont val="Tahoma"/>
            <family val="2"/>
          </rPr>
          <t>Vincent CRUVELLIER:</t>
        </r>
        <r>
          <rPr>
            <sz val="9"/>
            <color indexed="81"/>
            <rFont val="Tahoma"/>
            <family val="2"/>
          </rPr>
          <t xml:space="preserve">
Row: 1
Hex: C4D36480000410600C1E16000000000000CAC4D36480000410600C1E16000000000000CA
Binary:
11000100 11010011 01100100 10000000
00000000 00000100 00010000 01100000
00001100 00011110 00010110 00000000
00000000 00000000 00000000 00000000
00000000 11001010 11000100 11010011
01100100 10000000 00000000 00000100
00010000 01100000 00001100 00011110
00010110 00000000 00000000 00000000
00000000 00000000 00000000 11001010
</t>
        </r>
      </text>
    </comment>
    <comment ref="A56"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5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8" authorId="0">
      <text>
        <r>
          <rPr>
            <b/>
            <sz val="9"/>
            <color indexed="81"/>
            <rFont val="Tahoma"/>
            <family val="2"/>
          </rPr>
          <t>Vincent CRUVELLIER:</t>
        </r>
        <r>
          <rPr>
            <sz val="9"/>
            <color indexed="81"/>
            <rFont val="Tahoma"/>
            <family val="2"/>
          </rPr>
          <t xml:space="preserve">
Row: 1
Hex: C4D36480000410C00CA216000000000000B8C4D36480000410C00CA216000000000000B8
Binary:
11000100 11010011 01100100 10000000
00000000 00000100 00010000 11000000
00001100 10100010 00010110 00000000
00000000 00000000 00000000 00000000
00000000 10111000 11000100 11010011
01100100 10000000 00000000 00000100
00010000 11000000 00001100 10100010
00010110 00000000 00000000 00000000
00000000 00000000 00000000 10111000
</t>
        </r>
      </text>
    </comment>
    <comment ref="A59" authorId="0">
      <text>
        <r>
          <rPr>
            <b/>
            <sz val="9"/>
            <color indexed="81"/>
            <rFont val="Tahoma"/>
            <family val="2"/>
          </rPr>
          <t>Vincent CRUVELLIER:</t>
        </r>
        <r>
          <rPr>
            <sz val="9"/>
            <color indexed="81"/>
            <rFont val="Tahoma"/>
            <family val="2"/>
          </rPr>
          <t xml:space="preserve">
Row: 1
Hex: C4D36480000410400CA21600000000000038C4D36480000410400CA21600000000000038
Binary:
11000100 11010011 01100100 10000000
00000000 00000100 00010000 01000000
00001100 10100010 00010110 00000000
00000000 00000000 00000000 00000000
00000000 00111000 11000100 11010011
01100100 10000000 00000000 00000100
00010000 01000000 00001100 10100010
00010110 00000000 00000000 00000000
00000000 00000000 00000000 00111000
</t>
        </r>
      </text>
    </comment>
    <comment ref="A60" authorId="0">
      <text>
        <r>
          <rPr>
            <b/>
            <sz val="9"/>
            <color indexed="81"/>
            <rFont val="Tahoma"/>
            <family val="2"/>
          </rPr>
          <t>Vincent CRUVELLIER:</t>
        </r>
        <r>
          <rPr>
            <sz val="9"/>
            <color indexed="81"/>
            <rFont val="Tahoma"/>
            <family val="2"/>
          </rPr>
          <t xml:space="preserve">
Row: 1
Hex: C4D36480000410800CA216000000000000D8C4D36480000410800CA216000000000000D8
Binary:
11000100 11010011 01100100 10000000
00000000 00000100 00010000 10000000
00001100 10100010 00010110 00000000
00000000 00000000 00000000 00000000
00000000 11011000 11000100 11010011
01100100 10000000 00000000 00000100
00010000 10000000 00001100 10100010
00010110 00000000 00000000 00000000
00000000 00000000 00000000 11011000
</t>
        </r>
      </text>
    </comment>
    <comment ref="A61" authorId="0">
      <text>
        <r>
          <rPr>
            <b/>
            <sz val="9"/>
            <color indexed="81"/>
            <rFont val="Tahoma"/>
            <family val="2"/>
          </rPr>
          <t>Vincent CRUVELLIER:</t>
        </r>
        <r>
          <rPr>
            <sz val="9"/>
            <color indexed="81"/>
            <rFont val="Tahoma"/>
            <family val="2"/>
          </rPr>
          <t xml:space="preserve">
Row: 1
Hex: C4D36480000410000CA1160000000000005AC4D36480000410000CA1160000000000005A
Binary:
11000100 11010011 01100100 10000000
00000000 00000100 00010000 00000000
00001100 10100001 00010110 00000000
00000000 00000000 00000000 00000000
00000000 01011010 11000100 11010011
01100100 10000000 00000000 00000100
00010000 00000000 00001100 10100001
00010110 00000000 00000000 00000000
00000000 00000000 00000000 01011010
</t>
        </r>
      </text>
    </comment>
    <comment ref="C61" authorId="0">
      <text>
        <r>
          <rPr>
            <b/>
            <sz val="9"/>
            <color indexed="81"/>
            <rFont val="Tahoma"/>
            <family val="2"/>
          </rPr>
          <t>Vincent CRUVELLIER:</t>
        </r>
        <r>
          <rPr>
            <sz val="9"/>
            <color indexed="81"/>
            <rFont val="Tahoma"/>
            <family val="2"/>
          </rPr>
          <t xml:space="preserve">
minimum =16°c
</t>
        </r>
      </text>
    </comment>
    <comment ref="A62" authorId="0">
      <text>
        <r>
          <rPr>
            <b/>
            <sz val="9"/>
            <color indexed="81"/>
            <rFont val="Tahoma"/>
            <family val="2"/>
          </rPr>
          <t>Vincent CRUVELLIER:</t>
        </r>
        <r>
          <rPr>
            <sz val="9"/>
            <color indexed="81"/>
            <rFont val="Tahoma"/>
            <family val="2"/>
          </rPr>
          <t xml:space="preserve">
Row: 1
Hex: C4D36480000410600CA26600000000000078C4D36480000410600CA26600000000000078
Binary:
11000100 11010011 01100100 10000000
00000000 00000100 00010000 01100000
00001100 10100010 01100110 00000000
00000000 00000000 00000000 00000000
00000000 01111000 11000100 11010011
01100100 10000000 00000000 00000100
00010000 01100000 00001100 10100010
01100110 00000000 00000000 00000000
00000000 00000000 00000000 01111000
</t>
        </r>
      </text>
    </comment>
    <comment ref="A63" authorId="0">
      <text>
        <r>
          <rPr>
            <b/>
            <sz val="9"/>
            <color indexed="81"/>
            <rFont val="Tahoma"/>
            <family val="2"/>
          </rPr>
          <t>Vincent CRUVELLIER:</t>
        </r>
        <r>
          <rPr>
            <sz val="9"/>
            <color indexed="81"/>
            <rFont val="Tahoma"/>
            <family val="2"/>
          </rPr>
          <t xml:space="preserve">
Row: 1
Hex: C4D36480000410600CA20600000000000018C4D36480000410600CA20600000000000018
Binary:
11000100 11010011 01100100 10000000
00000000 00000100 00010000 01100000
00001100 10100010 00000110 00000000
00000000 00000000 00000000 00000000
00000000 00011000 11000100 11010011
01100100 10000000 00000000 00000100
00010000 01100000 00001100 10100010
00000110 00000000 00000000 00000000
00000000 00000000 00000000 00011000
</t>
        </r>
      </text>
    </comment>
    <comment ref="A64"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5" authorId="0">
      <text>
        <r>
          <rPr>
            <b/>
            <sz val="9"/>
            <color indexed="81"/>
            <rFont val="Tahoma"/>
            <family val="2"/>
          </rPr>
          <t>Vincent CRUVELLIER:</t>
        </r>
        <r>
          <rPr>
            <sz val="9"/>
            <color indexed="81"/>
            <rFont val="Tahoma"/>
            <family val="2"/>
          </rPr>
          <t xml:space="preserve">
Row: 1
Hex: C4D36480000410A00CA25A00000000000088C4D36480000410A00CA25A00000000000088
Binary:
11000100 11010011 01100100 10000000
00000000 00000100 00010000 10100000
00001100 10100010 01011010 00000000
00000000 00000000 00000000 00000000
00000000 10001000 11000100 11010011
01100100 10000000 00000000 00000100
00010000 10100000 00001100 10100010
01011010 00000000 00000000 00000000
00000000 00000000 00000000 10001000
</t>
        </r>
      </text>
    </comment>
    <comment ref="A66"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7" authorId="0">
      <text>
        <r>
          <rPr>
            <b/>
            <sz val="9"/>
            <color indexed="81"/>
            <rFont val="Tahoma"/>
            <family val="2"/>
          </rPr>
          <t>Vincent CRUVELLIER:</t>
        </r>
        <r>
          <rPr>
            <sz val="9"/>
            <color indexed="81"/>
            <rFont val="Tahoma"/>
            <family val="2"/>
          </rPr>
          <t xml:space="preserve">
Row: 1
Hex: C4D36480000410600CA2240000000000003BC4D36480000410600CA2240000000000003B
Binary:
11000100 11010011 01100100 10000000
00000000 00000100 00010000 01100000
00001100 10100010 00100100 00000000
00000000 00000000 00000000 00000000
00000000 00111011 11000100 11010011
01100100 10000000 00000000 00000100
00010000 01100000 00001100 10100010
00100100 00000000 00000000 00000000
00000000 00000000 00000000 00111011
</t>
        </r>
      </text>
    </comment>
    <comment ref="A68" authorId="0">
      <text>
        <r>
          <rPr>
            <b/>
            <sz val="9"/>
            <color indexed="81"/>
            <rFont val="Tahoma"/>
            <family val="2"/>
          </rPr>
          <t>Vincent CRUVELLIER:</t>
        </r>
        <r>
          <rPr>
            <sz val="9"/>
            <color indexed="81"/>
            <rFont val="Tahoma"/>
            <family val="2"/>
          </rPr>
          <t xml:space="preserve">
Row: 1
Hex: C4D36480000410600CA2000000000000001DC4D36480000410600CA2000000000000001D
Binary:
11000100 11010011 01100100 10000000
00000000 00000100 00010000 01100000
00001100 10100010 00000000 00000000
00000000 00000000 00000000 00000000
00000000 00011101 11000100 11010011
01100100 10000000 00000000 00000100
00010000 01100000 00001100 10100010
00000000 00000000 00000000 00000000
00000000 00000000 00000000 00011101
</t>
        </r>
      </text>
    </comment>
    <comment ref="A69" authorId="0">
      <text>
        <r>
          <rPr>
            <b/>
            <sz val="9"/>
            <color indexed="81"/>
            <rFont val="Tahoma"/>
            <family val="2"/>
          </rPr>
          <t>Vincent CRUVELLIER:</t>
        </r>
        <r>
          <rPr>
            <sz val="9"/>
            <color indexed="81"/>
            <rFont val="Tahoma"/>
            <family val="2"/>
          </rPr>
          <t xml:space="preserve">
Row: 2
Hex: C4D36480000410600CA2F1000000000000E2C4D36480000410600CA2F1000000000000E2
Binary:
11000100 11010011 01100100 10000000
00000000 00000100 00010000 01100000
00001100 10100010 11110001 00000000
00000000 00000000 00000000 00000000
00000000 11100010 11000100 11010011
01100100 10000000 00000000 00000100
00010000 01100000 00001100 10100010
11110001 00000000 00000000 00000000
00000000 00000000 00000000 11100010
</t>
        </r>
      </text>
    </comment>
    <comment ref="A70" authorId="0">
      <text>
        <r>
          <rPr>
            <b/>
            <sz val="9"/>
            <color indexed="81"/>
            <rFont val="Tahoma"/>
            <family val="2"/>
          </rPr>
          <t>Vincent CRUVELLIER:</t>
        </r>
        <r>
          <rPr>
            <sz val="9"/>
            <color indexed="81"/>
            <rFont val="Tahoma"/>
            <family val="2"/>
          </rPr>
          <t xml:space="preserve">
Row: 1
Hex: C4D36480000410600CA2000024A000000087C4D36480000410600CA2000024A000000087
Binary:
11000100 11010011 01100100 10000000
00000000 00000100 00010000 01100000
00001100 10100010 00000000 00000000
00100100 10100000 00000000 00000000
00000000 10000111 11000100 11010011
01100100 10000000 00000000 00000100
00010000 01100000 00001100 10100010
00000000 00000000 00100100 10100000
00000000 00000000 00000000 10000111
</t>
        </r>
      </text>
    </comment>
    <comment ref="A71" authorId="0">
      <text>
        <r>
          <rPr>
            <b/>
            <sz val="9"/>
            <color indexed="81"/>
            <rFont val="Tahoma"/>
            <family val="2"/>
          </rPr>
          <t>Vincent CRUVELLIER:</t>
        </r>
        <r>
          <rPr>
            <sz val="9"/>
            <color indexed="81"/>
            <rFont val="Tahoma"/>
            <family val="2"/>
          </rPr>
          <t xml:space="preserve">
Row: 1
Hex: C4D36480000410600CA20000E4A000000027C4D36480000410600CA20000E4A000000027
Binary:
11000100 11010011 01100100 10000000
00000000 00000100 00010000 01100000
00001100 10100010 00000000 00000000
11100100 10100000 00000000 00000000
00000000 00100111 11000100 11010011
01100100 10000000 00000000 00000100
00010000 01100000 00001100 10100010
00000000 00000000 11100100 10100000
00000000 00000000 00000000 00100111
</t>
        </r>
      </text>
    </comment>
    <comment ref="A72" authorId="0">
      <text>
        <r>
          <rPr>
            <b/>
            <sz val="9"/>
            <color indexed="81"/>
            <rFont val="Tahoma"/>
            <family val="2"/>
          </rPr>
          <t>Vincent CRUVELLIER:</t>
        </r>
        <r>
          <rPr>
            <sz val="9"/>
            <color indexed="81"/>
            <rFont val="Tahoma"/>
            <family val="2"/>
          </rPr>
          <t xml:space="preserve">
Row: 2
Hex: C4D36480000410600CA2000014A0000000A7C4D36480000410600CA2000014A0000000A7
Binary:
11000100 11010011 01100100 10000000
00000000 00000100 00010000 01100000
00001100 10100010 00000000 00000000
00010100 10100000 00000000 00000000
00000000 10100111 11000100 11010011
01100100 10000000 00000000 00000100
00010000 01100000 00001100 10100010
00000000 00000000 00010100 10100000
00000000 00000000 00000000 10100111
</t>
        </r>
      </text>
    </comment>
    <comment ref="A73" authorId="0">
      <text>
        <r>
          <rPr>
            <b/>
            <sz val="9"/>
            <color indexed="81"/>
            <rFont val="Tahoma"/>
            <family val="2"/>
          </rPr>
          <t>Vincent CRUVELLIER:</t>
        </r>
        <r>
          <rPr>
            <sz val="9"/>
            <color indexed="81"/>
            <rFont val="Tahoma"/>
            <family val="2"/>
          </rPr>
          <t xml:space="preserve">
Row: 1
Hex: C4D36480000410600CA2000094A000000067C4D36480000410600CA2000094A000000067
Binary:
11000100 11010011 01100100 10000000
00000000 00000100 00010000 01100000
00001100 10100010 00000000 00000000
10010100 10100000 00000000 00000000
00000000 01100111 11000100 11010011
01100100 10000000 00000000 00000100
00010000 01100000 00001100 10100010
00000000 00000000 10010100 10100000
00000000 00000000 00000000 01100111
</t>
        </r>
      </text>
    </comment>
    <comment ref="A74" authorId="0">
      <text>
        <r>
          <rPr>
            <b/>
            <sz val="9"/>
            <color indexed="81"/>
            <rFont val="Tahoma"/>
            <family val="2"/>
          </rPr>
          <t>Vincent CRUVELLIER:</t>
        </r>
        <r>
          <rPr>
            <sz val="9"/>
            <color indexed="81"/>
            <rFont val="Tahoma"/>
            <family val="2"/>
          </rPr>
          <t xml:space="preserve">
Row: 2
Hex: C4D36480000410600CA2002194E000000036C4D36480000410600CA2002194E000000036
Binary:
11000100 11010011 01100100 10000000
00000000 00000100 00010000 01100000
00001100 10100010 00000000 00100001
10010100 11100000 00000000 00000000
00000000 00110110 11000100 11010011
01100100 10000000 00000000 00000100
00010000 01100000 00001100 10100010
00000000 00100001 10010100 11100000
00000000 00000000 00000000 00110110
</t>
        </r>
      </text>
    </comment>
    <comment ref="A75" authorId="0">
      <text>
        <r>
          <rPr>
            <b/>
            <sz val="9"/>
            <color indexed="81"/>
            <rFont val="Tahoma"/>
            <family val="2"/>
          </rPr>
          <t>Vincent CRUVELLIER:</t>
        </r>
        <r>
          <rPr>
            <sz val="9"/>
            <color indexed="81"/>
            <rFont val="Tahoma"/>
            <family val="2"/>
          </rPr>
          <t xml:space="preserve">
Row: 1
Hex: C4D36480000410600CA2002100C0000000FCC4D36480000410600CA2002100C0000000FC
Binary:
11000100 11010011 01100100 10000000
00000000 00000100 00010000 01100000
00001100 10100010 00000000 00100001
00000000 11000000 00000000 00000000
00000000 11111100 11000100 11010011
01100100 10000000 00000000 00000100
00010000 01100000 00001100 10100010
00000000 00100001 00000000 11000000
00000000 00000000 00000000 11111100
</t>
        </r>
      </text>
    </comment>
    <comment ref="A76" authorId="0">
      <text>
        <r>
          <rPr>
            <b/>
            <sz val="9"/>
            <color indexed="81"/>
            <rFont val="Tahoma"/>
            <family val="2"/>
          </rPr>
          <t>Vincent CRUVELLIER:</t>
        </r>
        <r>
          <rPr>
            <sz val="9"/>
            <color indexed="81"/>
            <rFont val="Tahoma"/>
            <family val="2"/>
          </rPr>
          <t xml:space="preserve">
Row: 1
Hex: C4D36480000410600CA2800000000000009DC4D36480000410600CA2800000000000009D
Binary:
11000100 11010011 01100100 10000000
00000000 00000100 00010000 01100000
00001100 10100010 10000000 00000000
00000000 00000000 00000000 00000000
00000000 10011101 11000100 11010011
01100100 10000000 00000000 00000100
00010000 01100000 00001100 10100010
10000000 00000000 00000000 00000000
00000000 00000000 00000000 10011101
</t>
        </r>
      </text>
    </comment>
    <comment ref="A77" authorId="0">
      <text>
        <r>
          <rPr>
            <b/>
            <sz val="9"/>
            <color indexed="81"/>
            <rFont val="Tahoma"/>
            <family val="2"/>
          </rPr>
          <t>Vincent CRUVELLIER:</t>
        </r>
        <r>
          <rPr>
            <sz val="9"/>
            <color indexed="81"/>
            <rFont val="Tahoma"/>
            <family val="2"/>
          </rPr>
          <t xml:space="preserve">
Row: 2
Hex: C4D36480000408104CA280000000000000A3C4D36480000408104CA280000000000000A3
Binary:
11000100 11010011 01100100 10000000
00000000 00000100 00001000 00010000
01001100 10100010 10000000 00000000
00000000 00000000 00000000 00000000
00000000 10100011 11000100 11010011
01100100 10000000 00000000 00000100
00001000 00010000 01001100 10100010
10000000 00000000 00000000 00000000
00000000 00000000 00000000 10100011
</t>
        </r>
      </text>
    </comment>
    <comment ref="A78" authorId="0">
      <text>
        <r>
          <rPr>
            <b/>
            <sz val="9"/>
            <color indexed="81"/>
            <rFont val="Tahoma"/>
            <family val="2"/>
          </rPr>
          <t>Vincent CRUVELLIER:</t>
        </r>
        <r>
          <rPr>
            <sz val="9"/>
            <color indexed="81"/>
            <rFont val="Tahoma"/>
            <family val="2"/>
          </rPr>
          <t xml:space="preserve">
Row: 4
Hex: C4D36480000418E06CA2800000000000000BC4D36480000418E06CA2800000000000000B
Binary:
11000100 11010011 01100100 10000000
00000000 00000100 00011000 11100000
01101100 10100010 10000000 00000000
00000000 00000000 00000000 00000000
00000000 00001011 11000100 11010011
01100100 10000000 00000000 00000100
00011000 11100000 01101100 10100010
10000000 00000000 00000000 00000000
00000000 00000000 00000000 00001011
</t>
        </r>
      </text>
    </comment>
    <comment ref="A79" authorId="0">
      <text>
        <r>
          <rPr>
            <b/>
            <sz val="9"/>
            <color indexed="81"/>
            <rFont val="Tahoma"/>
            <family val="2"/>
          </rPr>
          <t>Vincent CRUVELLIER:</t>
        </r>
        <r>
          <rPr>
            <sz val="9"/>
            <color indexed="81"/>
            <rFont val="Tahoma"/>
            <family val="2"/>
          </rPr>
          <t xml:space="preserve">
Row: 5
Hex: C4D36480000404606C018000000000000048C4D36480000404606C018000000000000048
Binary:
11000100 11010011 01100100 10000000
00000000 00000100 00000100 01100000
01101100 00000001 10000000 00000000
00000000 00000000 00000000 00000000
00000000 01001000 11000100 11010011
01100100 10000000 00000000 00000100
00000100 01100000 01101100 00000001
10000000 00000000 00000000 00000000
00000000 00000000 00000000 01001000
</t>
        </r>
      </text>
    </comment>
  </commentList>
</comments>
</file>

<file path=xl/sharedStrings.xml><?xml version="1.0" encoding="utf-8"?>
<sst xmlns="http://schemas.openxmlformats.org/spreadsheetml/2006/main" count="484" uniqueCount="158">
  <si>
    <t>C4D36480000410C00CA201000000000000AC</t>
  </si>
  <si>
    <t>ON</t>
  </si>
  <si>
    <t>ETAT</t>
  </si>
  <si>
    <t>TEMP</t>
  </si>
  <si>
    <t>/*</t>
  </si>
  <si>
    <t>Automatically Generated by AnalysIR - Batch Export Utility</t>
  </si>
  <si>
    <t>Registered to: Vincent.Cruvellier@free.fr</t>
  </si>
  <si>
    <t>Session History</t>
  </si>
  <si>
    <t>Type : Key : Value : Bits</t>
  </si>
  <si>
    <t>0 : MITSUBISHI288AC :  : C4D36480000010A00CA2CA00000000000057C4D36480000010A00CA2CA00000000000057 : 288</t>
  </si>
  <si>
    <t>1 : MITSUBISHI288AC :  : C4D36480000410A00CA2CA00000000000050C4D36480000410A00CA2CA00000000000050 : 288</t>
  </si>
  <si>
    <t>2 : MITSUBISHI288AC :  : C4D36480000410200CA2CA00000000000090C4D36480000410200CA2CA00000000000090 : 288</t>
  </si>
  <si>
    <t>3 : MITSUBISHI288AC :  : C4D36480000410C00CA2CA00000000000010C4D36480000410C00CA2CA00000000000010 : 288</t>
  </si>
  <si>
    <t>*/</t>
  </si>
  <si>
    <t>// NB: Not all protocols are supported by IRremote or IRLib. You may need to edit the code below manually</t>
  </si>
  <si>
    <t>// Automatically Generated by AnalysIR for Vincent.Cruvellier@free.fr, visit http://www.AnalysIR.com or email info@....... for further details</t>
  </si>
  <si>
    <t>int khz=38; //NB Change this default value as neccessary to the correct modulation frequency</t>
  </si>
  <si>
    <t>irsend.sendRaw(Signal_0_0, sizeof(Signal_0_0)/sizeof(int), khz); //AnalysIR Batch Export - RAW</t>
  </si>
  <si>
    <t xml:space="preserve"> // AnalysIR IR Protocol: MITSUBISHI288AC, Key:  </t>
  </si>
  <si>
    <t>irsend.sendRaw(Signal_1_1, sizeof(Signal_1_1)/sizeof(int), khz); //AnalysIR Batch Export - RAW</t>
  </si>
  <si>
    <t>irsend.sendRaw(Signal_2_2, sizeof(Signal_2_2)/sizeof(int), khz); //AnalysIR Batch Export - RAW</t>
  </si>
  <si>
    <t>OFF</t>
  </si>
  <si>
    <t>H1</t>
  </si>
  <si>
    <t>H2</t>
  </si>
  <si>
    <t>Bin 1</t>
  </si>
  <si>
    <t>Bin 2</t>
  </si>
  <si>
    <t>Bin 3</t>
  </si>
  <si>
    <t>Bin 4</t>
  </si>
  <si>
    <t>Bin 5</t>
  </si>
  <si>
    <t>Bin 6</t>
  </si>
  <si>
    <t>Bin 7</t>
  </si>
  <si>
    <t>Bin 8</t>
  </si>
  <si>
    <t>Bin 9</t>
  </si>
  <si>
    <t>Bin 10</t>
  </si>
  <si>
    <t>Bin 11</t>
  </si>
  <si>
    <t>Bin 12</t>
  </si>
  <si>
    <t>Bin 13</t>
  </si>
  <si>
    <t>Bin 14</t>
  </si>
  <si>
    <t>Bin 15</t>
  </si>
  <si>
    <t>Bin 16</t>
  </si>
  <si>
    <t>Bin 17</t>
  </si>
  <si>
    <t>Bin 18</t>
  </si>
  <si>
    <t>unsigned int Signal_0_0[] = {3424,1748,452,1272,416,1308,416,460,452,412,412,464,452,1268,416,460,452,420,452,1272,448,1280,436,440,452,1272,416,456,452,412,452,1272,416,1316,412,456,416,1316,436,1288,416,456,412,460,412,1316,440,428,412,456,452,1276,452,416,452,412,412,456,452,416,452,416,412,460,412,460,452,416,412,460,452,416,416,452,452,416,412,460,448,416,412,460,452,412,412,460,412,456,472,404,416,452,412,460,452,412,452,420,412,460,412,452,416,456,448,1272,412,460,452,420,412,460,412,452,452,1276,412,460,452,1284,444,424,412,456,412,456,412,456,412,456,412,460,452,412,412,456,416,452,412,1316,416,1316,480,392,448,420,412,1312,436,432,412,1320,448,424,452,412,452,416,412,1312,440,432,412,1316,452,1272,448,432,448,420,448,1272,412,460,452,1272,412,456,412,460,412,456,412,460,412,456,416,456,412,460,416,456,412,460,452,416,452,412,452,420,412,460,452,412,452,416,412,464,452,416,448,424,448,416,452,416,452,420,412,456,412,456,416,460,452,416,452,420,412,464,452,412,412,456,452,416,452,416,452,416,452,416,452,412,412,456,412,456,452,416,452,420,412,460,452,416,412,452,416,456,464,416,436,440,412,456,448,416,412,464,452,416,452,416,412,456,412,1312,444,428,412,1316,452,416,452,1272,412,1316,440,1296,436,17068,3560,1748,444,1284,416,1312,416,456,416,452,416,460,412,1312,416,452,416,452,452,1272,416,1316,440,436,448,1272,448,420,416,456,412,1316,412,1320,412,460,452,1272,452,1276,452,416,452,412,416,1312,412,456,412,456,412,1316,452,412,452,416,452,416,452,412,476,404,412,456,412,468,452,412,452,420,448,420,452,416,452,416,452,412,452,416,452,416,452,416,412,460,412,452,412,464,452,424,412,460,452,416,412,456,412,456,464,416,436,440,412,1312,440,432,452,416,412,456,412,456,412,1316,412,464,452,1268,416,456,412,460,416,456,412,456,412,460,452,416,452,412,452,420,412,456,416,1312,476,1252,416,456,412,456,412,1312,480,392,448,1284,476,392,452,412,452,416,452,1276,476,392,452,1276,448,1276,452,416,412,460,452,1276,412,452,452,1276,416,456,452,420,412,456,416,456,432,444,448,420,452,412,452,416,452,412,412,456,452,420,448,416,412,460,448,420,448,416,412,464,452,420,452,412,412,460,452,420,412,456,452,416,452,412,412,460,412,456,448,416,412,460,412,456,452,416,452,420,412,460,452,416,412,452,416,456,412,456,412,456,412,460,412,456,412,456,452,416,452,416,412,460,416,452,412,456,452,412,412,456,416,452,452,416,416,452,412,456,452,1272,444,424,452,1272,452,416,412,1312,480,1248,412,1316,436}; //AnalysIR Batch Export - RAW</t>
  </si>
  <si>
    <t>My_Sender.IRsendRaw::send(Signal_0_0, sizeof(Signal_0_0)/sizeof(int), khz); //AnalysIR Batch Export - RAW</t>
  </si>
  <si>
    <t>unsigned int Signal_1_1[] = {3420,1748,452,1272,416,1316,456,416,508,360,452,412,412,1316,456,416,452,412,412,1316,440,1284,436,440,452,1272,456,416,452,416,412,1312,444,1288,452,420,452,1272,436,1288,416,456,452,416,412,1316,440,428,456,416,448,1276,436,432,452,412,416,456,452,412,416,456,460,416,452,416,452,416,412,460,452,412,412,464,504,372,412,460,452,416,412,456,452,416,532,348,436,440,452,416,452,412,412,1316,416,464,452,412,452,420,508,356,452,420,452,1272,444,428,452,412,452,420,452,416,452,1272,416,460,452,1272,440,428,452,424,412,460,452,412,452,416,452,416,504,364,452,416,452,416,412,1316,448,1280,436,436,412,456,412,1320,412,460,504,1224,412,464,452,424,412,460,452,1272,440,432,412,1320,440,1288,448,420,412,460,504,1216,480,400,448,1276,444,420,452,420,452,416,452,416,452,416,412,456,452,412,416,460,412,456,452,416,504,364,448,420,452,416,452,416,504,360,452,420,504,364,452,416,412,460,452,412,416,456,504,364,452,412,452,420,504,364,448,412,508,364,504,360,508,360,476,400,412,460,452,412,412,456,508,360,532,352,432,440,452,416,452,416,412,460,508,360,508,364,448,420,448,420,448,412,452,416,416,456,452,420,452,412,412,460,452,416,452,1268,440,428,504,1224,440,432,504,364,452,412,412,456,412,17096,3560,1748,508,1220,448,1276,444,428,468,412,452,416,452,1272,412,460,508,360,412,1320,412,1316,440,432,452,1276,440,440,412,460,452,1276,452,1276,452,420,452,1276,416,1320,440,428,412,460,448,1272,448,428,452,412,452,1272,444,424,436,440,452,416,452,412,412,464,452,416,452,416,504,364,504,364,452,412,452,416,412,456,456,416,452,416,412,460,448,416,504,360,452,420,412,456,412,460,452,1272,452,420,448,416,452,420,412,460,452,416,412,1316,440,428,412,460,452,412,412,456,416,1312,440,428,412,1320,412,460,452,416,452,416,412,460,452,420,452,412,416,456,508,364,448,416,452,1272,416,1316,416,452,504,364,452,1280,412,464,452,1272,440,428,452,416,412,460,452,1272,440,428,412,1312,416,1312,456,416,412,460,464,1268,412,464,452,1272,440,432,504,360,452,416,452,420,452,416,452,412,452,416,452,416,452,416,452,412,412,460,452,416,412,464,448,428,412,460,452,412,508,360,412,460,436,440,432,440,452,416,452,416,412,460,452,416,452,416,452,416,456,416,448,412,508,364,412,456,452,420,452,412,416,456,452,416,452,412,448,420,412,460,412,460,504,360,452,416,452,416,412,464,504,360,412,464,452,424,412,460,452,412,508,356,452,420,448,420,452,1272,440,432,452,1268,444,424,412,460,452,412,452,412,412}; //AnalysIR Batch Export - RAW</t>
  </si>
  <si>
    <t>My_Sender.IRsendRaw::send(Signal_1_1, sizeof(Signal_1_1)/sizeof(int), khz); //AnalysIR Batch Export - RAW</t>
  </si>
  <si>
    <t>unsigned int Signal_2_2[] = {3424,1744,448,1280,412,1320,440,428,452,416,452,416,416,1312,448,420,508,360,412,1312,440,1284,440,436,452,1276,448,424,452,412,412,1320,436,1288,416,452,452,1272,444,1288,412,456,452,416,412,1316,440,428,412,456,416,1316,412,456,416,456,412,460,412,456,412,464,412,456,508,364,452,416,504,364,448,420,412,460,452,416,504,360,448,428,452,416,452,420,452,412,452,416,452,420,412,456,412,1316,508,360,412,460,508,360,452,416,452,412,452,1272,444,428,452,412,416,456,412,456,412,456,416,456,412,1312,456,416,412,456,452,416,452,416,452,420,452,416,508,360,452,412,412,460,452,1272,456,1272,444,428,412,456,452,1272,440,436,448,1256,528,360,508,356,508,364,452,1276,452,416,508,1216,448,1280,436,432,508,364,448,1276,440,424,412,1320,436,436,452,416,412,460,508,364,412,456,452,416,452,416,412,460,412,460,452,416,412,460,452,416,452,420,504,360,452,420,448,416,412,460,452,412,504,364,412,456,412,464,504,364,452,412,452,416,452,412,412,460,508,360,504,360,412,460,504,364,452,412,412,464,452,420,452,412,412,460,452,416,508,360,448,420,452,416,508,360,504,360,452,416,412,456,452,416,412,460,452,412,508,360,416,456,416,456,452,1276,412,460,452,416,504,1220,412,460,416,452,452,416,412,460,452,17056,3600,1704,452,1276,508,1220,416,456,452,420,452,416,472,1276,412,456,452,420,452,1276,408,1316,436,436,452,1276,432,436,508,360,412,1316,444,1284,508,364,504,1220,444,1284,412,460,504,360,452,1272,444,428,452,416,412,1316,448,424,452,416,508,360,452,416,452,416,452,416,452,412,412,456,412,464,508,360,412,460,452,416,472,408,448,420,412,464,508,360,452,416,512,356,452,416,452,416,452,1272,440,428,412,456,416,452,416,456,452,416,508,1216,436,436,452,416,412,456,452,416,452,420,504,360,508,1216,452,420,452,420,412,456,452,412,452,416,412,456,412,460,452,420,448,420,448,1272,440,1288,444,436,508,360,452,1272,440,428,412,1320,436,440,412,460,508,356,508,1216,440,428,452,1276,412,1316,452,420,416,460,448,1272,448,420,412,1316,440,432,452,408,472,400,504,356,452,416,452,420,412,456,508,356,412,460,412,456,412,456,452,416,452,412,452,420,472,408,448,416,412,468,412,460,452,412,508,360,452,416,412,456,508,360,452,420,504,360,412,460,508,360,448,416,416,456,412,464,416,456,452,416,452,416,452,416,508,356,508,364,452,412,416,460,412,456,452,416,452,412,452,420,504,364,448,420,452,416,452,412,452,412,452,428,452,412,452,1276,436,432,412,456,412,1324,412,460,452,416,452,412,452,412,452}; //AnalysIR Batch Export - RAW</t>
  </si>
  <si>
    <t>My_Sender.IRsendRaw::send(Signal_2_2, sizeof(Signal_2_2)/sizeof(int), khz); //AnalysIR Batch Export - RAW</t>
  </si>
  <si>
    <t>unsigned int Signal_3_3[] = {3420,1752,436,1292,452,1276,452,412,452,416,412,460,412,1316,416,456,452,412,508,1216,416,1316,452,416,412,1316,504,360,412,456,416,1312,444,1284,416,460,412,1316,412,1320,412,460,412,460,508,1216,444,424,412,456,412,1316,504,360,452,412,504,364,412,460,504,360,452,416,452,416,476,404,412,456,412,460,508,360,452,412,412,456,508,360,508,364,452,416,452,412,508,360,504,364,412,456,412,1316,508,360,412,460,452,412,436,440,436,440,412,1328,504,360,412,456,412,464,412,456,416,1312,416,1316,508,360,504,360,412,456,412,460,412,472,412,452,452,420,412,456,452,416,412,456,412,1316,508,1220,416,456,508,364,448,1276,448,420,452,1276,412,456,452,416,412,456,504,1224,452,416,412,1316,416,1316,416,452,452,416,412,1316,452,416,412,1316,412,460,504,360,412,456,508,360,412,456,412,460,472,408,504,360,412,468,452,416,452,412,508,364,508,360,452,416,504,360,508,360,412,456,412,456,412,456,416,452,416,456,452,428,416,456,456,412,412,456,504,364,528,352,436,436,416,456,448,416,416,460,504,364,448,420,452,416,508,360,452,412,508,360,412,456,412,460,412,456,412,456,508,360,504,360,452,420,412,456,416,456,452,416,452,416,508,360,412,460,504,364,412,460,412,1316,412,460,472,404,452,416,412,460,412,17092,3560,1748,416,1312,444,1284,416,456,504,360,508,360,508,1220,412,464,476,388,504,1224,440,1288,412,456,452,1276,452,416,476,404,508,1220,452,1272,416,456,452,1272,456,1272,444,424,416,456,416,1316,412,460,452,412,452,1276,440,428,452,416,412,456,452,416,412,456,416,456,452,416,416,452,416,452,508,364,412,456,412,460,448,416,452,416,448,420,504,364,452,416,452,416,412,456,412,460,452,1272,456,416,412,460,452,416,412,460,412,460,412,1316,416,452,416,456,412,460,412,456,412,1320,412,1316,412,460,412,460,452,428,412,460,508,356,416,456,448,420,528,352,432,440,412,456,452,1272,416,1312,412,456,508,360,452,1272,440,428,452,1272,412,460,416,452,412,456,508,1220,452,412,452,1272,416,1316,412,456,452,416,508,1216,416,456,452,1272,440,432,452,416,452,416,452,412,452,416,416,452,416,456,412,456,412,460,452,412,452,416,448,420,412,460,412,456,508,360,508,360,452,416,412,460,452,416,412,464,412,464,412,456,512,356,504,360,452,416,452,416,508,360,452,416,416,456,412,460,504,360,412,456,452,416,412,464,412,456,416,456,452,412,416,452,452,416,504,364,412,456,452,412,508,360,412,456,504,364,412,460,448,416,412,456,416,460,452,412,508,360,412,456,448,1276,508,356,416,452,452,416,508,360,416}; //AnalysIR Batch Export - RAW</t>
  </si>
  <si>
    <t>My_Sender.IRsendRaw::send(Signal_3_3, sizeof(Signal_3_3)/sizeof(int), khz); //AnalysIR Batch Export - RAW</t>
  </si>
  <si>
    <t>00000000</t>
  </si>
  <si>
    <t>0 : RAW :  :  : 0</t>
  </si>
  <si>
    <t>1 : MITSUBISHI288AC :  : C4D36480000010A00CA22A000000000000D7C4D36480000010A00CA22A000000000000D7 : 288</t>
  </si>
  <si>
    <t>2 : MITSUBISHI288AC :  : C4D36480000410A00CA22A000000000000D0C4D36480000410A00CA22A000000000000D0 : 288</t>
  </si>
  <si>
    <t>unsigned int Signal_0_0[] = {168}; //AnalysIR Batch Export - RAW</t>
  </si>
  <si>
    <t xml:space="preserve"> // AnalysIR IR Protocol: RAW, Key:  </t>
  </si>
  <si>
    <t>unsigned int Signal_1_1[] = {3444,1728,448,1276,412,1320,476,388,452,412,416,460,412,1316,416,456,452,416,412,1320,412,1316,440,436,448,1272,440,440,416,456,452,1276,480,1248,452,420,452,1268,440,1292,440,432,452,416,412,1316,444,424,412,456,412,1316,416,460,448,420,452,412,412,464,452,412,412,456,452,416,416,460,412,456,412,460,452,412,412,460,448,416,448,420,412,456,452,412,452,416,452,416,452,416,412,456,452,416,412,460,412,456,452,416,452,416,452,416,452,1272,444,420,412,456,456,412,452,416,448,1272,448,424,452,1272,412,460,452,416,476,404,452,416,412,468,452,412,452,416,452,420,452,416,452,1268,416,1316,480,392,452,412,452,1276,444,428,452,1272,412,456,412,460,412,460,452,1276,440,436,452,412,464,412,432,1300,448,436,452,1268,448,420,452,1276,452,420,452,412,464,412,432,440,412,456,412,460,412,456,456,412,416,456,452,412,452,416,452,416,452,416,412,456,452,412,416,460,412,456,452,416,448,420,448,420,448,420,452,416,448,416,452,420,452,416,452,416,412,460,452,412,416,456,452,416,452,412,452,416,452,416,452,412,452,416,452,416,452,416,452,424,412,460,452,412,412,456,452,416,452,416,452,420,412,456,416,452,416,456,452,412,452,420,452,1272,444,1284,440,432,412,1316,416,452,412,1312,416,1316,416,1320,436,16383,3560,1744,464,1264,480,1248,448,420,412,460,452,412,412,1316,480,392,452,416,452,1276,448,1276,448,420,452,1280,448,424,452,412,416,1316,448,1276,444,428,412,1316,480,1244,480,388,412,460,412,1316,412,460,452,416,452,1268,440,428,452,416,452,420,452,420,452,416,412,456,448,420,448,420,452,416,452,416,452,416,416,456,452,416,416,460,452,416,412,452,452,420,448,420,452,412,456,416,452,416,448,420,452,416,448,416,412,456,412,460,432,1300,444,424,412,460,452,416,412,456,452,1272,456,416,412,1316,440,428,412,460,452,412,452,416,412,468,452,412,452,416,452,420,452,416,452,1272,436,1300,412,460,452,420,448,1272,480,392,448,1272,448,420,452,416,416,460,472,1264,452,420,452,412,452,416,448,1276,444,428,452,1272,480,388,452,1272,440,436,452,416,452,416,452,416,452,416,452,416,452,412,452,416,452,416,452,416,412,460,452,412,416,460,452,424,412,460,452,416,412,456,476,404,452,416,452,412,412,460,416,456,452,412,452,420,452,412,452,416,412,456,416,456,412,456,416,456,412,464,412,456,452,420,452,416,452,412,452,420,412,460,452,412,452,416,448,428,452,416,452,420,452,412,452,416,452,420,412,456,412,456,416,460,452,420,452,1272,436,1288,416,456,412,1316,412,460,412,1316,440,1284,416,1332,448}; //AnalysIR Batch Export - RAW</t>
  </si>
  <si>
    <t>unsigned int Signal_2_2[] = {3424,1744,440,1288,412,1320,480,388,452,416,452,412,412,1316,440,432,452,416,412,1312,480,1244,472,404,412,1316,444,424,412,456,412,1316,416,1312,448,424,412,1312,480,1244,416,456,452,416,412,1316,452,416,452,420,452,1272,436,432,416,452,412,456,412,460,412,456,452,416,452,416,452,412,436,440,436,440,412,456,412,456,412,460,452,416,412,456,452,412,452,416,412,456,452,416,412,456,452,1272,440,428,412,456,452,416,476,408,432,440,412,1312,412,460,452,420,412,460,452,416,452,1272,416,452,416,1312,440,428,452,412,416,452,452,416,452,416,452,416,452,412,452,416,452,416,452,1272,412,1312,416,460,448,416,452,1272,416,452,452,1280,408,456,416,464,412,460,452,1272,416,456,452,416,452,416,452,1272,412,460,452,1268,416,456,416,1324,440,428,452,416,416,452,452,416,412,460,412,456,412,456,412,456,452,420,416,456,412,456,452,412,452,416,416,456,452,416,452,416,452,416,412,456,452,416,452,416,412,456,412,464,416,456,452,416,412,456,412,456,452,416,452,420,448,416,412,460,412,460,452,412,452,416,452,416,452,416,416,452,452,416,452,412,452,416,452,424,412,456,452,420,412,456,448,416,412,460,412,456,416,456,412,460,452,420,412,1312,416,1312,416,460,412,1316,412,456,452,416,448,416,412,460,452,16383,3556,1748,480,1248,444,1284,476,388,452,420,452,416,452,1268,444,428,412,460,412,1312,412,1316,448,424,412,1312,412,460,452,416,452,1272,412,1316,412,460,412,1316,480,1248,412,456,412,460,416,1312,440,428,412,456,412,1316,480,388,452,412,416,452,452,416,412,456,412,464,412,456,412,460,412,456,416,456,452,412,452,416,452,416,416,452,416,456,452,412,416,460,448,420,468,408,412,456,412,1316,436,432,452,416,452,416,412,456,412,460,412,1312,412,460,412,456,412,460,452,412,412,1312,440,428,452,1276,416,452,416,456,412,456,452,416,452,416,452,412,440,436,436,440,412,456,412,1316,452,1272,416,460,412,456,452,1276,412,460,412,1312,452,420,412,456,412,460,452,1280,440,424,412,460,412,456,448,1276,412,460,412,1312,440,432,412,1316,412,460,452,416,452,416,452,412,412,460,412,456,416,452,452,416,412,456,452,416,412,456,416,452,416,456,416,456,412,464,412,456,452,416,416,452,452,416,452,420,412,456,452,416,452,416,448,428,412,456,452,416,412,456,452,416,412,456,412,460,412,460,412,460,452,416,412,460,416,456,452,416,412,456,452,416,452,412,416,452,452,416,452,416,452,412,416,456,452,412,452,424,412,460,452,416,412,456,452,1276,476,1248,476,388,452,1272,416,456,452,416,452,416,452,416,452}; //AnalysIR Batch Export - RAW</t>
  </si>
  <si>
    <t>C4D36480000410A00CA22A000000000000D0</t>
  </si>
  <si>
    <t>C4D36480000010A00CA22A000000000000D7</t>
  </si>
  <si>
    <t>C4D36480000010A00CA2AA00000000000037</t>
  </si>
  <si>
    <t>C4D36480000410A00CA2AA00000000000030</t>
  </si>
  <si>
    <t>+</t>
  </si>
  <si>
    <t>-</t>
  </si>
  <si>
    <t>C4D36480000410600CA2AA000000000000B0</t>
  </si>
  <si>
    <t>On/OFF</t>
  </si>
  <si>
    <t>C4D36480000410A00CA28600000000000018</t>
  </si>
  <si>
    <t>C4D36480000010A00CA2860000000000001F</t>
  </si>
  <si>
    <t>C4D36480000410A00CA2C600000000000058</t>
  </si>
  <si>
    <t>C4D36480000010A00CA2C60000000000005F</t>
  </si>
  <si>
    <t>TIME</t>
  </si>
  <si>
    <t>C4D36480000010600CA2C6000000000000D</t>
  </si>
  <si>
    <t>C4D36480000410600CA2C6000000000000D8</t>
  </si>
  <si>
    <t>C4D36480000410E00CA2C600000000000038</t>
  </si>
  <si>
    <t>C4D36480000410600CA22600000000000038</t>
  </si>
  <si>
    <t>C4D36480000410E00CA226000000000000B8</t>
  </si>
  <si>
    <t>C4D36480000410100CA22600000000000078</t>
  </si>
  <si>
    <t>C4D36480000410900CA226000000000000F8</t>
  </si>
  <si>
    <t>C4D36480000410500CA22600000000000004</t>
  </si>
  <si>
    <t>C4D36480000410D00CA22600000000000084</t>
  </si>
  <si>
    <t>C4D36480000410300CA22600000000000044</t>
  </si>
  <si>
    <t>C4D36480000410B00CA226000000000000C4</t>
  </si>
  <si>
    <t>C4D36480000410700CA22600000000000024</t>
  </si>
  <si>
    <t>C4D36480000410F00CA126000000000000A6</t>
  </si>
  <si>
    <t>C4D36480000010F00CA226000000000000A0</t>
  </si>
  <si>
    <t>C4D36480000410600CA2E6000000000000F8</t>
  </si>
  <si>
    <t>C4D36480000410600CA21600000000000004</t>
  </si>
  <si>
    <t>C4D36480000410600CA29600000000000084</t>
  </si>
  <si>
    <t>Silence</t>
  </si>
  <si>
    <t>FAN</t>
  </si>
  <si>
    <t>Mode</t>
  </si>
  <si>
    <t>Soleil</t>
  </si>
  <si>
    <t>C4D36480000410600C821600000000000038</t>
  </si>
  <si>
    <t>+1</t>
  </si>
  <si>
    <t>+2</t>
  </si>
  <si>
    <t>C4D36480000410600C4216000000000000B8</t>
  </si>
  <si>
    <t>C4D36480000410600CC21600000000000078</t>
  </si>
  <si>
    <t>+3</t>
  </si>
  <si>
    <t>C4D36480000410600C2216000000000000F8</t>
  </si>
  <si>
    <t>silent</t>
  </si>
  <si>
    <t>+4</t>
  </si>
  <si>
    <t>C4D36480000410600C0116000000000000DA</t>
  </si>
  <si>
    <t>Auto</t>
  </si>
  <si>
    <t>Vanne</t>
  </si>
  <si>
    <t>H3</t>
  </si>
  <si>
    <t>H4</t>
  </si>
  <si>
    <t>Balayage</t>
  </si>
  <si>
    <t>C4D36480000410600C1216000000000000C4</t>
  </si>
  <si>
    <t>C4D36480000410600C0A16000000000000D4</t>
  </si>
  <si>
    <t>C4D36480000410600C1A16000000000000CC</t>
  </si>
  <si>
    <t>C4D36480000410600C0616000000000000DC</t>
  </si>
  <si>
    <t>C4D36480000410600C1616000000000000C2</t>
  </si>
  <si>
    <t>H5</t>
  </si>
  <si>
    <t>C4D36480000410600C1E16000000000000CA</t>
  </si>
  <si>
    <t>Silent</t>
  </si>
  <si>
    <t>temp</t>
  </si>
  <si>
    <t>C4D36480000410C00CA216000000000000B8</t>
  </si>
  <si>
    <t>C4D36480000410400CA21600000000000038</t>
  </si>
  <si>
    <t>C4D36480000410800CA216000000000000D8</t>
  </si>
  <si>
    <t>C4D36480000410000CA1160000000000005A</t>
  </si>
  <si>
    <t>C4D36480000410600CA26600000000000078</t>
  </si>
  <si>
    <t>C4D36480000410600CA20600000000000018</t>
  </si>
  <si>
    <t>C4D36480000410600CA25A00000000000048</t>
  </si>
  <si>
    <t>C4D36480000410A00CA25A00000000000088</t>
  </si>
  <si>
    <t>C4D36480000410600CA2240000000000003B</t>
  </si>
  <si>
    <t>C4D36480000410600CA2000000000000001D</t>
  </si>
  <si>
    <t>C4D36480000410600CA2F1000000000000E2</t>
  </si>
  <si>
    <t>00100011</t>
  </si>
  <si>
    <t>11001011</t>
  </si>
  <si>
    <t>00100110</t>
  </si>
  <si>
    <t>00000001</t>
  </si>
  <si>
    <t>00100000</t>
  </si>
  <si>
    <t>00001000</t>
  </si>
  <si>
    <t>00000101</t>
  </si>
  <si>
    <t>00110000</t>
  </si>
  <si>
    <t>01000101</t>
  </si>
  <si>
    <t>01010100</t>
  </si>
  <si>
    <t>00001011</t>
  </si>
  <si>
    <t>11101011</t>
  </si>
  <si>
    <t>BYTE 18 CRC</t>
  </si>
  <si>
    <t>C4D36480000410600CA2000024A000000087</t>
  </si>
  <si>
    <t>START at 6:00</t>
  </si>
  <si>
    <t>C4D36480000410600CA20000E4A000000027</t>
  </si>
  <si>
    <t>START at 6:30</t>
  </si>
  <si>
    <t>C4D36480000410600CA2000014A0000000A7</t>
  </si>
  <si>
    <t>C4D36480000410600CA2000094A000000067</t>
  </si>
  <si>
    <t>START at 6:41</t>
  </si>
  <si>
    <t>START at 6:50</t>
  </si>
  <si>
    <t>C4D36480000410600CA2002194E000000036</t>
  </si>
  <si>
    <t>START at 6:41: STOP 22:00</t>
  </si>
  <si>
    <t>C4D36480000410600CA2002100C0000000FC</t>
  </si>
  <si>
    <t>END at 22:00</t>
  </si>
  <si>
    <t>C4D36480000410600CA2800000000000009D</t>
  </si>
  <si>
    <t>C4D36480000408104CA280000000000000A3</t>
  </si>
  <si>
    <t>Dry</t>
  </si>
  <si>
    <t>C4D36480000418E06CA2800000000000000B</t>
  </si>
  <si>
    <t>Neige</t>
  </si>
  <si>
    <t>C4D36480000404606C018000000000000048</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</si>
</sst>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6">
    <xf numFmtId="0" fontId="0" fillId="0" borderId="0" xfId="0"/>
    <xf numFmtId="0" fontId="0" fillId="3" borderId="0" xfId="0" applyFill="1"/>
    <xf numFmtId="0" fontId="0" fillId="4" borderId="0" xfId="0" applyFill="1"/>
    <xf numFmtId="0" fontId="0" fillId="5" borderId="0" xfId="0" applyFill="1"/>
    <xf numFmtId="0" fontId="1" fillId="0" borderId="0" xfId="0" applyFont="1"/>
    <xf numFmtId="0" fontId="1" fillId="2" borderId="0" xfId="0" applyFont="1" applyFill="1"/>
    <xf numFmtId="0" fontId="0" fillId="6" borderId="0" xfId="0" applyFill="1"/>
    <xf numFmtId="0" fontId="0" fillId="7" borderId="0" xfId="0" applyFill="1"/>
    <xf numFmtId="0" fontId="1" fillId="7" borderId="0" xfId="0" applyFont="1" applyFill="1"/>
    <xf numFmtId="0" fontId="0" fillId="8" borderId="0" xfId="0" applyFill="1"/>
    <xf numFmtId="0" fontId="1" fillId="8" borderId="0" xfId="0" applyFont="1" applyFill="1"/>
    <xf numFmtId="20" fontId="0" fillId="0" borderId="0" xfId="0" applyNumberFormat="1"/>
    <xf numFmtId="0" fontId="0" fillId="9" borderId="0" xfId="0" applyFill="1"/>
    <xf numFmtId="0" fontId="0" fillId="0" borderId="0" xfId="0" applyFill="1"/>
    <xf numFmtId="0" fontId="1" fillId="0" borderId="0" xfId="0" applyFont="1" applyFill="1"/>
    <xf numFmtId="0" fontId="0" fillId="0" borderId="0" xfId="0" applyFont="1" applyFill="1"/>
    <xf numFmtId="0" fontId="4" fillId="0" borderId="0" xfId="0" applyFont="1"/>
    <xf numFmtId="20" fontId="4" fillId="0" borderId="0" xfId="0" applyNumberFormat="1" applyFont="1"/>
    <xf numFmtId="0" fontId="4" fillId="8" borderId="0" xfId="0" applyFont="1" applyFill="1"/>
    <xf numFmtId="0" fontId="4" fillId="6" borderId="0" xfId="0" applyFont="1" applyFill="1"/>
    <xf numFmtId="0" fontId="4" fillId="3" borderId="0" xfId="0" applyFont="1" applyFill="1"/>
    <xf numFmtId="0" fontId="4" fillId="9" borderId="0" xfId="0" applyFont="1" applyFill="1"/>
    <xf numFmtId="0" fontId="4" fillId="0" borderId="0" xfId="0" applyFont="1" applyFill="1"/>
    <xf numFmtId="20" fontId="1" fillId="0" borderId="0" xfId="0" applyNumberFormat="1" applyFont="1"/>
    <xf numFmtId="0" fontId="1" fillId="6" borderId="0" xfId="0" applyFont="1" applyFill="1"/>
    <xf numFmtId="0" fontId="1" fillId="3" borderId="0" xfId="0" applyFont="1" applyFill="1"/>
    <xf numFmtId="0" fontId="1" fillId="9" borderId="0" xfId="0" applyFont="1" applyFill="1"/>
    <xf numFmtId="0" fontId="1" fillId="0" borderId="0" xfId="0" applyFont="1" applyAlignment="1">
      <alignment horizontal="center"/>
    </xf>
    <xf numFmtId="0" fontId="1" fillId="0" borderId="1" xfId="0" applyFont="1" applyBorder="1" applyAlignment="1">
      <alignment horizontal="center"/>
    </xf>
    <xf numFmtId="20" fontId="0" fillId="0" borderId="0" xfId="0" applyNumberFormat="1" applyFill="1"/>
    <xf numFmtId="0" fontId="0" fillId="0" borderId="0" xfId="0" quotePrefix="1" applyFill="1"/>
    <xf numFmtId="0" fontId="4" fillId="5" borderId="0" xfId="0" applyFont="1" applyFill="1"/>
    <xf numFmtId="20" fontId="0" fillId="6" borderId="0" xfId="0" applyNumberFormat="1" applyFill="1"/>
    <xf numFmtId="20" fontId="0" fillId="7" borderId="0" xfId="0" applyNumberFormat="1" applyFill="1"/>
    <xf numFmtId="0" fontId="4" fillId="7" borderId="0" xfId="0" applyFont="1" applyFill="1"/>
    <xf numFmtId="0" fontId="0" fillId="5"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BT86"/>
  <sheetViews>
    <sheetView tabSelected="1" topLeftCell="B34" workbookViewId="0">
      <selection activeCell="BF44" sqref="BF44"/>
    </sheetView>
  </sheetViews>
  <sheetFormatPr baseColWidth="10" defaultRowHeight="15" x14ac:dyDescent="0.25"/>
  <cols>
    <col min="1" max="1" width="39.140625" bestFit="1" customWidth="1"/>
    <col min="2" max="2" width="6.5703125" customWidth="1"/>
    <col min="3" max="3" width="5.85546875" bestFit="1" customWidth="1"/>
    <col min="4" max="4" width="13.85546875" customWidth="1"/>
    <col min="5" max="7" width="5.28515625" customWidth="1"/>
    <col min="8" max="8" width="3.140625" hidden="1" customWidth="1"/>
    <col min="9" max="9" width="3.28515625" hidden="1" customWidth="1"/>
    <col min="10" max="14" width="3" hidden="1" customWidth="1"/>
    <col min="15" max="15" width="4" hidden="1" customWidth="1"/>
    <col min="16" max="16" width="3.140625" hidden="1" customWidth="1"/>
    <col min="17" max="17" width="3.28515625" hidden="1" customWidth="1"/>
    <col min="18" max="18" width="3.42578125" hidden="1" customWidth="1"/>
    <col min="19" max="25" width="3" hidden="1" customWidth="1"/>
    <col min="26" max="26" width="4" hidden="1" customWidth="1"/>
    <col min="27" max="27" width="2.28515625" customWidth="1"/>
    <col min="28" max="28" width="4.42578125" customWidth="1"/>
    <col min="29" max="29" width="3.28515625" bestFit="1" customWidth="1"/>
    <col min="30" max="34" width="3" bestFit="1" customWidth="1"/>
    <col min="35" max="35" width="4" bestFit="1" customWidth="1"/>
    <col min="36" max="36" width="3.140625" bestFit="1" customWidth="1"/>
    <col min="37" max="37" width="3.28515625" style="3" bestFit="1" customWidth="1"/>
    <col min="38" max="38" width="3.42578125" bestFit="1" customWidth="1"/>
    <col min="39" max="45" width="3" bestFit="1" customWidth="1"/>
    <col min="46" max="46" width="3" customWidth="1"/>
    <col min="47" max="47" width="4" bestFit="1" customWidth="1"/>
    <col min="48" max="55" width="9" bestFit="1" customWidth="1"/>
    <col min="56" max="56" width="4.28515625" customWidth="1"/>
    <col min="57" max="57" width="9" bestFit="1" customWidth="1"/>
    <col min="58" max="58" width="9" style="3" bestFit="1" customWidth="1"/>
    <col min="59" max="59" width="9" customWidth="1"/>
    <col min="60" max="60" width="9" bestFit="1" customWidth="1"/>
    <col min="61" max="61" width="9" customWidth="1"/>
    <col min="62" max="62" width="9" bestFit="1" customWidth="1"/>
    <col min="63" max="63" width="9" customWidth="1"/>
    <col min="64" max="64" width="9" bestFit="1" customWidth="1"/>
    <col min="65" max="65" width="9" customWidth="1"/>
    <col min="66" max="66" width="9" bestFit="1" customWidth="1"/>
    <col min="67" max="67" width="9" customWidth="1"/>
    <col min="68" max="71" width="9" bestFit="1" customWidth="1"/>
  </cols>
  <sheetData>
    <row r="1" spans="1:71" x14ac:dyDescent="0.25">
      <c r="A1" t="s">
        <v>0</v>
      </c>
    </row>
    <row r="2" spans="1:71" x14ac:dyDescent="0.25">
      <c r="A2" t="str">
        <f>HEX2BIN("C4")</f>
        <v>11000100</v>
      </c>
      <c r="C2">
        <f>18*8</f>
        <v>144</v>
      </c>
      <c r="D2">
        <f>C2*2</f>
        <v>288</v>
      </c>
      <c r="Q2">
        <v>21</v>
      </c>
      <c r="R2" t="str">
        <f>DEC2BIN(Q2,8)</f>
        <v>00010101</v>
      </c>
      <c r="AK2" s="3">
        <v>21</v>
      </c>
      <c r="AL2" t="str">
        <f>DEC2BIN(AK2,8)</f>
        <v>00010101</v>
      </c>
    </row>
    <row r="3" spans="1:71" x14ac:dyDescent="0.25">
      <c r="C3">
        <f>C2/8</f>
        <v>18</v>
      </c>
      <c r="Q3">
        <v>22</v>
      </c>
      <c r="R3" t="str">
        <f t="shared" ref="R3:R4" si="0">DEC2BIN(Q3,8)</f>
        <v>00010110</v>
      </c>
      <c r="AK3" s="3">
        <v>22</v>
      </c>
      <c r="AL3" t="str">
        <f t="shared" ref="AL3:AL4" si="1">DEC2BIN(AK3,8)</f>
        <v>00010110</v>
      </c>
    </row>
    <row r="4" spans="1:71" x14ac:dyDescent="0.25">
      <c r="Q4">
        <v>23</v>
      </c>
      <c r="R4" t="str">
        <f t="shared" si="0"/>
        <v>00010111</v>
      </c>
      <c r="AK4" s="3">
        <v>23</v>
      </c>
      <c r="AL4" t="str">
        <f t="shared" si="1"/>
        <v>00010111</v>
      </c>
    </row>
    <row r="5" spans="1:71" x14ac:dyDescent="0.25">
      <c r="BA5" t="s">
        <v>65</v>
      </c>
      <c r="BC5" t="s">
        <v>115</v>
      </c>
    </row>
    <row r="6" spans="1:71" x14ac:dyDescent="0.25">
      <c r="B6" t="s">
        <v>70</v>
      </c>
      <c r="C6" t="s">
        <v>3</v>
      </c>
      <c r="D6" t="s">
        <v>2</v>
      </c>
      <c r="E6" t="s">
        <v>90</v>
      </c>
      <c r="F6" t="s">
        <v>103</v>
      </c>
      <c r="G6" t="s">
        <v>89</v>
      </c>
      <c r="H6">
        <v>1</v>
      </c>
      <c r="I6">
        <v>2</v>
      </c>
      <c r="J6">
        <v>3</v>
      </c>
      <c r="K6">
        <v>4</v>
      </c>
      <c r="L6">
        <v>5</v>
      </c>
      <c r="M6">
        <v>6</v>
      </c>
      <c r="N6">
        <v>7</v>
      </c>
      <c r="O6">
        <v>8</v>
      </c>
      <c r="P6">
        <v>9</v>
      </c>
      <c r="Q6">
        <v>10</v>
      </c>
      <c r="R6">
        <v>11</v>
      </c>
      <c r="S6">
        <v>12</v>
      </c>
      <c r="T6">
        <v>13</v>
      </c>
      <c r="U6">
        <v>14</v>
      </c>
      <c r="V6">
        <v>15</v>
      </c>
      <c r="W6">
        <v>16</v>
      </c>
      <c r="X6">
        <v>17</v>
      </c>
      <c r="Y6">
        <v>18</v>
      </c>
      <c r="AB6">
        <v>1</v>
      </c>
      <c r="AC6">
        <v>2</v>
      </c>
      <c r="AD6">
        <v>3</v>
      </c>
      <c r="AE6">
        <v>4</v>
      </c>
      <c r="AF6">
        <v>5</v>
      </c>
      <c r="AG6">
        <v>6</v>
      </c>
      <c r="AH6">
        <v>7</v>
      </c>
      <c r="AI6">
        <v>8</v>
      </c>
      <c r="AJ6">
        <v>9</v>
      </c>
      <c r="AK6" s="3">
        <v>10</v>
      </c>
      <c r="AL6">
        <v>11</v>
      </c>
      <c r="AM6">
        <v>12</v>
      </c>
      <c r="AN6">
        <v>13</v>
      </c>
      <c r="AO6">
        <v>14</v>
      </c>
      <c r="AP6">
        <v>15</v>
      </c>
      <c r="AQ6">
        <v>16</v>
      </c>
      <c r="AR6">
        <v>17</v>
      </c>
      <c r="AS6">
        <v>18</v>
      </c>
      <c r="AV6" t="s">
        <v>24</v>
      </c>
      <c r="AW6" t="s">
        <v>25</v>
      </c>
      <c r="AX6" t="s">
        <v>26</v>
      </c>
      <c r="AY6" t="s">
        <v>27</v>
      </c>
      <c r="AZ6" t="s">
        <v>28</v>
      </c>
      <c r="BA6" t="s">
        <v>29</v>
      </c>
      <c r="BB6" t="s">
        <v>30</v>
      </c>
      <c r="BC6" t="s">
        <v>31</v>
      </c>
      <c r="BE6" t="s">
        <v>32</v>
      </c>
      <c r="BF6" s="3" t="s">
        <v>33</v>
      </c>
      <c r="BH6" t="s">
        <v>34</v>
      </c>
      <c r="BJ6" t="s">
        <v>35</v>
      </c>
      <c r="BL6" t="s">
        <v>36</v>
      </c>
      <c r="BN6" t="s">
        <v>37</v>
      </c>
      <c r="BP6" t="s">
        <v>38</v>
      </c>
      <c r="BQ6" t="s">
        <v>39</v>
      </c>
      <c r="BR6" t="s">
        <v>40</v>
      </c>
      <c r="BS6" t="s">
        <v>41</v>
      </c>
    </row>
    <row r="7" spans="1:71" x14ac:dyDescent="0.25">
      <c r="A7" t="s">
        <v>58</v>
      </c>
      <c r="C7">
        <v>21</v>
      </c>
      <c r="D7" t="s">
        <v>1</v>
      </c>
      <c r="E7" t="s">
        <v>91</v>
      </c>
      <c r="F7" t="s">
        <v>102</v>
      </c>
      <c r="G7" t="s">
        <v>88</v>
      </c>
      <c r="H7" t="str">
        <f t="shared" ref="H7:W22" si="2">RIGHT(LEFT($A7,2*H$6),2)</f>
        <v>C4</v>
      </c>
      <c r="I7" t="str">
        <f t="shared" ref="I7:Y17" si="3">RIGHT(LEFT($A7,2*I$6),2)</f>
        <v>D3</v>
      </c>
      <c r="J7" t="str">
        <f t="shared" si="3"/>
        <v>64</v>
      </c>
      <c r="K7" t="str">
        <f t="shared" si="3"/>
        <v>80</v>
      </c>
      <c r="L7" t="str">
        <f t="shared" si="3"/>
        <v>00</v>
      </c>
      <c r="M7" t="str">
        <f t="shared" si="3"/>
        <v>04</v>
      </c>
      <c r="N7" t="str">
        <f t="shared" si="3"/>
        <v>10</v>
      </c>
      <c r="O7" t="str">
        <f t="shared" si="3"/>
        <v>A0</v>
      </c>
      <c r="P7" t="str">
        <f t="shared" si="3"/>
        <v>0C</v>
      </c>
      <c r="Q7" t="str">
        <f t="shared" si="3"/>
        <v>A2</v>
      </c>
      <c r="R7" t="str">
        <f t="shared" si="3"/>
        <v>2A</v>
      </c>
      <c r="S7" t="str">
        <f t="shared" si="3"/>
        <v>00</v>
      </c>
      <c r="T7" t="str">
        <f t="shared" si="3"/>
        <v>00</v>
      </c>
      <c r="U7" t="str">
        <f t="shared" si="3"/>
        <v>00</v>
      </c>
      <c r="V7" t="str">
        <f t="shared" si="3"/>
        <v>00</v>
      </c>
      <c r="W7" t="str">
        <f t="shared" si="3"/>
        <v>00</v>
      </c>
      <c r="X7" t="str">
        <f t="shared" si="3"/>
        <v>00</v>
      </c>
      <c r="Y7" t="str">
        <f t="shared" si="3"/>
        <v>D0</v>
      </c>
      <c r="AB7" t="str">
        <f>BIN2HEX(ReverseText(HEX2BIN(H7,8)),2)</f>
        <v>23</v>
      </c>
      <c r="AC7" t="str">
        <f t="shared" ref="AC7:AS7" si="4">BIN2HEX(ReverseText(HEX2BIN(I7,8)),2)</f>
        <v>CB</v>
      </c>
      <c r="AD7" t="str">
        <f t="shared" si="4"/>
        <v>26</v>
      </c>
      <c r="AE7" t="str">
        <f t="shared" si="4"/>
        <v>01</v>
      </c>
      <c r="AF7" t="str">
        <f t="shared" si="4"/>
        <v>00</v>
      </c>
      <c r="AG7" t="str">
        <f t="shared" si="4"/>
        <v>20</v>
      </c>
      <c r="AH7" t="str">
        <f t="shared" si="4"/>
        <v>08</v>
      </c>
      <c r="AI7" t="str">
        <f t="shared" si="4"/>
        <v>05</v>
      </c>
      <c r="AJ7" t="str">
        <f t="shared" si="4"/>
        <v>30</v>
      </c>
      <c r="AK7" s="3" t="str">
        <f t="shared" si="4"/>
        <v>45</v>
      </c>
      <c r="AL7" t="str">
        <f t="shared" si="4"/>
        <v>54</v>
      </c>
      <c r="AM7" t="str">
        <f t="shared" si="4"/>
        <v>00</v>
      </c>
      <c r="AN7" t="str">
        <f t="shared" si="4"/>
        <v>00</v>
      </c>
      <c r="AO7" t="str">
        <f t="shared" si="4"/>
        <v>00</v>
      </c>
      <c r="AP7" t="str">
        <f t="shared" si="4"/>
        <v>00</v>
      </c>
      <c r="AQ7" t="str">
        <f t="shared" si="4"/>
        <v>00</v>
      </c>
      <c r="AR7" t="str">
        <f t="shared" si="4"/>
        <v>00</v>
      </c>
      <c r="AS7" t="str">
        <f t="shared" si="4"/>
        <v>0B</v>
      </c>
      <c r="AV7" s="15" t="str">
        <f>HEX2BIN(AB7,8)</f>
        <v>00100011</v>
      </c>
      <c r="AW7" s="15" t="str">
        <f>HEX2BIN(AC7,8)</f>
        <v>11001011</v>
      </c>
      <c r="AX7" s="15" t="str">
        <f>HEX2BIN(AD7,8)</f>
        <v>00100110</v>
      </c>
      <c r="AY7" s="15" t="str">
        <f>HEX2BIN(AE7,8)</f>
        <v>00000001</v>
      </c>
      <c r="AZ7" s="15" t="str">
        <f>HEX2BIN(AF7,8)</f>
        <v>00000000</v>
      </c>
      <c r="BA7" s="15" t="str">
        <f>HEX2BIN(AG7,8)</f>
        <v>00100000</v>
      </c>
      <c r="BB7" s="15" t="str">
        <f>HEX2BIN(AH7,8)</f>
        <v>00001000</v>
      </c>
      <c r="BC7" s="15" t="str">
        <f>HEX2BIN(AI7,8)</f>
        <v>00000101</v>
      </c>
      <c r="BD7" s="15"/>
      <c r="BE7" s="15" t="str">
        <f>HEX2BIN(AJ7,8)</f>
        <v>00110000</v>
      </c>
      <c r="BF7" s="35" t="str">
        <f>HEX2BIN(AK7,8)</f>
        <v>01000101</v>
      </c>
      <c r="BG7" s="15"/>
      <c r="BH7" s="15" t="str">
        <f>HEX2BIN(AL7,8)</f>
        <v>01010100</v>
      </c>
      <c r="BI7" s="15"/>
      <c r="BJ7" s="15" t="str">
        <f>HEX2BIN(AM7,8)</f>
        <v>00000000</v>
      </c>
      <c r="BK7" s="15"/>
      <c r="BL7" s="15" t="str">
        <f>HEX2BIN(AN7,8)</f>
        <v>00000000</v>
      </c>
      <c r="BM7" s="15"/>
      <c r="BN7" s="15" t="str">
        <f>HEX2BIN(AO7,8)</f>
        <v>00000000</v>
      </c>
      <c r="BO7" s="15"/>
      <c r="BP7" s="15" t="str">
        <f>HEX2BIN(AP7,8)</f>
        <v>00000000</v>
      </c>
      <c r="BQ7" s="15" t="str">
        <f>HEX2BIN(AQ7,8)</f>
        <v>00000000</v>
      </c>
      <c r="BR7" s="15" t="str">
        <f>HEX2BIN(AR7,8)</f>
        <v>00000000</v>
      </c>
      <c r="BS7" s="15" t="str">
        <f>HEX2BIN(AS7,8)</f>
        <v>00001011</v>
      </c>
    </row>
    <row r="8" spans="1:71" x14ac:dyDescent="0.25">
      <c r="A8" t="s">
        <v>59</v>
      </c>
      <c r="C8">
        <v>21</v>
      </c>
      <c r="D8" t="s">
        <v>21</v>
      </c>
      <c r="E8" t="s">
        <v>91</v>
      </c>
      <c r="F8" t="s">
        <v>102</v>
      </c>
      <c r="G8" t="s">
        <v>88</v>
      </c>
      <c r="H8" t="str">
        <f t="shared" si="2"/>
        <v>C4</v>
      </c>
      <c r="I8" t="str">
        <f t="shared" si="3"/>
        <v>D3</v>
      </c>
      <c r="J8" t="str">
        <f t="shared" si="3"/>
        <v>64</v>
      </c>
      <c r="K8" t="str">
        <f t="shared" si="3"/>
        <v>80</v>
      </c>
      <c r="L8" t="str">
        <f t="shared" si="3"/>
        <v>00</v>
      </c>
      <c r="M8" t="str">
        <f t="shared" si="3"/>
        <v>00</v>
      </c>
      <c r="N8" t="str">
        <f t="shared" si="3"/>
        <v>10</v>
      </c>
      <c r="O8" t="str">
        <f t="shared" si="3"/>
        <v>A0</v>
      </c>
      <c r="P8" t="str">
        <f t="shared" si="3"/>
        <v>0C</v>
      </c>
      <c r="Q8" t="str">
        <f t="shared" si="3"/>
        <v>A2</v>
      </c>
      <c r="R8" t="str">
        <f t="shared" si="3"/>
        <v>2A</v>
      </c>
      <c r="S8" t="str">
        <f t="shared" si="3"/>
        <v>00</v>
      </c>
      <c r="T8" t="str">
        <f t="shared" si="3"/>
        <v>00</v>
      </c>
      <c r="U8" t="str">
        <f t="shared" si="3"/>
        <v>00</v>
      </c>
      <c r="V8" t="str">
        <f t="shared" si="3"/>
        <v>00</v>
      </c>
      <c r="W8" t="str">
        <f t="shared" si="3"/>
        <v>00</v>
      </c>
      <c r="X8" t="str">
        <f t="shared" si="3"/>
        <v>00</v>
      </c>
      <c r="Y8" t="str">
        <f t="shared" si="3"/>
        <v>D7</v>
      </c>
      <c r="AB8" t="str">
        <f t="shared" ref="AB8:AB35" si="5">BIN2HEX(ReverseText(HEX2BIN(H8,8)),2)</f>
        <v>23</v>
      </c>
      <c r="AC8" t="str">
        <f t="shared" ref="AC8:AC35" si="6">BIN2HEX(ReverseText(HEX2BIN(I8,8)),2)</f>
        <v>CB</v>
      </c>
      <c r="AD8" t="str">
        <f t="shared" ref="AD8:AD35" si="7">BIN2HEX(ReverseText(HEX2BIN(J8,8)),2)</f>
        <v>26</v>
      </c>
      <c r="AE8" t="str">
        <f t="shared" ref="AE8:AE35" si="8">BIN2HEX(ReverseText(HEX2BIN(K8,8)),2)</f>
        <v>01</v>
      </c>
      <c r="AF8" t="str">
        <f t="shared" ref="AF8:AF35" si="9">BIN2HEX(ReverseText(HEX2BIN(L8,8)),2)</f>
        <v>00</v>
      </c>
      <c r="AG8" t="str">
        <f t="shared" ref="AG8:AG35" si="10">BIN2HEX(ReverseText(HEX2BIN(M8,8)),2)</f>
        <v>00</v>
      </c>
      <c r="AH8" t="str">
        <f t="shared" ref="AH8:AH35" si="11">BIN2HEX(ReverseText(HEX2BIN(N8,8)),2)</f>
        <v>08</v>
      </c>
      <c r="AI8" t="str">
        <f t="shared" ref="AI8:AI35" si="12">BIN2HEX(ReverseText(HEX2BIN(O8,8)),2)</f>
        <v>05</v>
      </c>
      <c r="AJ8" t="str">
        <f t="shared" ref="AJ8:AJ35" si="13">BIN2HEX(ReverseText(HEX2BIN(P8,8)),2)</f>
        <v>30</v>
      </c>
      <c r="AK8" s="3" t="str">
        <f t="shared" ref="AK8:AK35" si="14">BIN2HEX(ReverseText(HEX2BIN(Q8,8)),2)</f>
        <v>45</v>
      </c>
      <c r="AL8" t="str">
        <f t="shared" ref="AL8:AL35" si="15">BIN2HEX(ReverseText(HEX2BIN(R8,8)),2)</f>
        <v>54</v>
      </c>
      <c r="AM8" t="str">
        <f t="shared" ref="AM8:AM35" si="16">BIN2HEX(ReverseText(HEX2BIN(S8,8)),2)</f>
        <v>00</v>
      </c>
      <c r="AN8" t="str">
        <f t="shared" ref="AN8:AN35" si="17">BIN2HEX(ReverseText(HEX2BIN(T8,8)),2)</f>
        <v>00</v>
      </c>
      <c r="AO8" t="str">
        <f t="shared" ref="AO8:AO35" si="18">BIN2HEX(ReverseText(HEX2BIN(U8,8)),2)</f>
        <v>00</v>
      </c>
      <c r="AP8" t="str">
        <f t="shared" ref="AP8:AP35" si="19">BIN2HEX(ReverseText(HEX2BIN(V8,8)),2)</f>
        <v>00</v>
      </c>
      <c r="AQ8" t="str">
        <f t="shared" ref="AQ8:AQ35" si="20">BIN2HEX(ReverseText(HEX2BIN(W8,8)),2)</f>
        <v>00</v>
      </c>
      <c r="AR8" t="str">
        <f t="shared" ref="AR8:AR35" si="21">BIN2HEX(ReverseText(HEX2BIN(X8,8)),2)</f>
        <v>00</v>
      </c>
      <c r="AS8" t="str">
        <f t="shared" ref="AS8:AS35" si="22">BIN2HEX(ReverseText(HEX2BIN(Y8,8)),2)</f>
        <v>EB</v>
      </c>
      <c r="AV8" s="15" t="str">
        <f t="shared" ref="AV8:AV35" si="23">HEX2BIN(AB8,8)</f>
        <v>00100011</v>
      </c>
      <c r="AW8" s="15" t="str">
        <f t="shared" ref="AW8:AW35" si="24">HEX2BIN(AC8,8)</f>
        <v>11001011</v>
      </c>
      <c r="AX8" s="15" t="str">
        <f t="shared" ref="AX8:AX35" si="25">HEX2BIN(AD8,8)</f>
        <v>00100110</v>
      </c>
      <c r="AY8" s="15" t="str">
        <f t="shared" ref="AY8:AY35" si="26">HEX2BIN(AE8,8)</f>
        <v>00000001</v>
      </c>
      <c r="AZ8" s="15" t="str">
        <f t="shared" ref="AZ8:AZ35" si="27">HEX2BIN(AF8,8)</f>
        <v>00000000</v>
      </c>
      <c r="BA8" s="15" t="str">
        <f t="shared" ref="BA8:BA35" si="28">HEX2BIN(AG8,8)</f>
        <v>00000000</v>
      </c>
      <c r="BB8" s="15" t="str">
        <f t="shared" ref="BB8:BB35" si="29">HEX2BIN(AH8,8)</f>
        <v>00001000</v>
      </c>
      <c r="BC8" s="15" t="str">
        <f t="shared" ref="BC8:BC35" si="30">HEX2BIN(AI8,8)</f>
        <v>00000101</v>
      </c>
      <c r="BD8" s="15"/>
      <c r="BE8" s="15" t="str">
        <f t="shared" ref="BE8:BE35" si="31">HEX2BIN(AJ8,8)</f>
        <v>00110000</v>
      </c>
      <c r="BF8" s="35" t="str">
        <f t="shared" ref="BF8:BF35" si="32">HEX2BIN(AK8,8)</f>
        <v>01000101</v>
      </c>
      <c r="BG8" s="15"/>
      <c r="BH8" s="15" t="str">
        <f t="shared" ref="BH8:BH35" si="33">HEX2BIN(AL8,8)</f>
        <v>01010100</v>
      </c>
      <c r="BI8" s="15"/>
      <c r="BJ8" s="15" t="str">
        <f t="shared" ref="BJ8:BJ35" si="34">HEX2BIN(AM8,8)</f>
        <v>00000000</v>
      </c>
      <c r="BK8" s="15"/>
      <c r="BL8" s="15" t="str">
        <f t="shared" ref="BL8:BL35" si="35">HEX2BIN(AN8,8)</f>
        <v>00000000</v>
      </c>
      <c r="BM8" s="15"/>
      <c r="BN8" s="15" t="str">
        <f t="shared" ref="BN8:BN35" si="36">HEX2BIN(AO8,8)</f>
        <v>00000000</v>
      </c>
      <c r="BO8" s="15"/>
      <c r="BP8" s="15" t="str">
        <f t="shared" ref="BP8:BP35" si="37">HEX2BIN(AP8,8)</f>
        <v>00000000</v>
      </c>
      <c r="BQ8" s="15" t="str">
        <f t="shared" ref="BQ8:BQ35" si="38">HEX2BIN(AQ8,8)</f>
        <v>00000000</v>
      </c>
      <c r="BR8" s="15" t="str">
        <f t="shared" ref="BR8:BR35" si="39">HEX2BIN(AR8,8)</f>
        <v>00000000</v>
      </c>
      <c r="BS8" s="15" t="str">
        <f t="shared" ref="BS8:BS35" si="40">HEX2BIN(AS8,8)</f>
        <v>11101011</v>
      </c>
    </row>
    <row r="9" spans="1:71" x14ac:dyDescent="0.25">
      <c r="A9" t="s">
        <v>60</v>
      </c>
      <c r="C9">
        <v>21</v>
      </c>
      <c r="D9" t="s">
        <v>21</v>
      </c>
      <c r="E9" t="s">
        <v>91</v>
      </c>
      <c r="F9" t="s">
        <v>102</v>
      </c>
      <c r="G9" t="s">
        <v>88</v>
      </c>
      <c r="H9" t="str">
        <f t="shared" si="2"/>
        <v>C4</v>
      </c>
      <c r="I9" t="str">
        <f t="shared" si="3"/>
        <v>D3</v>
      </c>
      <c r="J9" t="str">
        <f t="shared" si="3"/>
        <v>64</v>
      </c>
      <c r="K9" t="str">
        <f t="shared" si="3"/>
        <v>80</v>
      </c>
      <c r="L9" t="str">
        <f t="shared" si="3"/>
        <v>00</v>
      </c>
      <c r="M9" t="str">
        <f t="shared" si="3"/>
        <v>00</v>
      </c>
      <c r="N9" t="str">
        <f t="shared" si="3"/>
        <v>10</v>
      </c>
      <c r="O9" t="str">
        <f t="shared" si="3"/>
        <v>A0</v>
      </c>
      <c r="P9" t="str">
        <f t="shared" si="3"/>
        <v>0C</v>
      </c>
      <c r="Q9" t="str">
        <f t="shared" si="3"/>
        <v>A2</v>
      </c>
      <c r="R9" t="str">
        <f t="shared" si="3"/>
        <v>AA</v>
      </c>
      <c r="S9" t="str">
        <f t="shared" si="3"/>
        <v>00</v>
      </c>
      <c r="T9" t="str">
        <f t="shared" si="3"/>
        <v>00</v>
      </c>
      <c r="U9" t="str">
        <f t="shared" si="3"/>
        <v>00</v>
      </c>
      <c r="V9" t="str">
        <f t="shared" si="3"/>
        <v>00</v>
      </c>
      <c r="W9" t="str">
        <f t="shared" si="3"/>
        <v>00</v>
      </c>
      <c r="X9" t="str">
        <f t="shared" si="3"/>
        <v>00</v>
      </c>
      <c r="Y9" t="str">
        <f t="shared" si="3"/>
        <v>37</v>
      </c>
      <c r="AB9" t="str">
        <f t="shared" si="5"/>
        <v>23</v>
      </c>
      <c r="AC9" t="str">
        <f t="shared" si="6"/>
        <v>CB</v>
      </c>
      <c r="AD9" t="str">
        <f t="shared" si="7"/>
        <v>26</v>
      </c>
      <c r="AE9" t="str">
        <f t="shared" si="8"/>
        <v>01</v>
      </c>
      <c r="AF9" t="str">
        <f t="shared" si="9"/>
        <v>00</v>
      </c>
      <c r="AG9" t="str">
        <f t="shared" si="10"/>
        <v>00</v>
      </c>
      <c r="AH9" t="str">
        <f t="shared" si="11"/>
        <v>08</v>
      </c>
      <c r="AI9" t="str">
        <f t="shared" si="12"/>
        <v>05</v>
      </c>
      <c r="AJ9" t="str">
        <f t="shared" si="13"/>
        <v>30</v>
      </c>
      <c r="AK9" s="3" t="str">
        <f t="shared" si="14"/>
        <v>45</v>
      </c>
      <c r="AL9" t="str">
        <f t="shared" si="15"/>
        <v>55</v>
      </c>
      <c r="AM9" t="str">
        <f t="shared" si="16"/>
        <v>00</v>
      </c>
      <c r="AN9" t="str">
        <f t="shared" si="17"/>
        <v>00</v>
      </c>
      <c r="AO9" t="str">
        <f t="shared" si="18"/>
        <v>00</v>
      </c>
      <c r="AP9" t="str">
        <f t="shared" si="19"/>
        <v>00</v>
      </c>
      <c r="AQ9" t="str">
        <f t="shared" si="20"/>
        <v>00</v>
      </c>
      <c r="AR9" t="str">
        <f t="shared" si="21"/>
        <v>00</v>
      </c>
      <c r="AS9" t="str">
        <f t="shared" si="22"/>
        <v>EC</v>
      </c>
      <c r="AV9" s="15" t="str">
        <f t="shared" si="23"/>
        <v>00100011</v>
      </c>
      <c r="AW9" s="15" t="str">
        <f t="shared" si="24"/>
        <v>11001011</v>
      </c>
      <c r="AX9" s="15" t="str">
        <f t="shared" si="25"/>
        <v>00100110</v>
      </c>
      <c r="AY9" s="15" t="str">
        <f t="shared" si="26"/>
        <v>00000001</v>
      </c>
      <c r="AZ9" s="15" t="str">
        <f t="shared" si="27"/>
        <v>00000000</v>
      </c>
      <c r="BA9" s="15" t="str">
        <f t="shared" si="28"/>
        <v>00000000</v>
      </c>
      <c r="BB9" s="15" t="str">
        <f t="shared" si="29"/>
        <v>00001000</v>
      </c>
      <c r="BC9" s="15" t="str">
        <f t="shared" si="30"/>
        <v>00000101</v>
      </c>
      <c r="BD9" s="15"/>
      <c r="BE9" s="15" t="str">
        <f t="shared" si="31"/>
        <v>00110000</v>
      </c>
      <c r="BF9" s="35" t="str">
        <f t="shared" si="32"/>
        <v>01000101</v>
      </c>
      <c r="BG9" s="15"/>
      <c r="BH9" s="15" t="str">
        <f t="shared" si="33"/>
        <v>01010101</v>
      </c>
      <c r="BI9" s="15"/>
      <c r="BJ9" s="15" t="str">
        <f t="shared" si="34"/>
        <v>00000000</v>
      </c>
      <c r="BK9" s="15"/>
      <c r="BL9" s="15" t="str">
        <f t="shared" si="35"/>
        <v>00000000</v>
      </c>
      <c r="BM9" s="15"/>
      <c r="BN9" s="15" t="str">
        <f t="shared" si="36"/>
        <v>00000000</v>
      </c>
      <c r="BO9" s="15"/>
      <c r="BP9" s="15" t="str">
        <f t="shared" si="37"/>
        <v>00000000</v>
      </c>
      <c r="BQ9" s="15" t="str">
        <f t="shared" si="38"/>
        <v>00000000</v>
      </c>
      <c r="BR9" s="15" t="str">
        <f t="shared" si="39"/>
        <v>00000000</v>
      </c>
      <c r="BS9" s="15" t="str">
        <f t="shared" si="40"/>
        <v>11101100</v>
      </c>
    </row>
    <row r="10" spans="1:71" x14ac:dyDescent="0.25">
      <c r="A10" t="s">
        <v>61</v>
      </c>
      <c r="C10">
        <v>21</v>
      </c>
      <c r="D10" t="s">
        <v>1</v>
      </c>
      <c r="E10" t="s">
        <v>91</v>
      </c>
      <c r="F10" t="s">
        <v>102</v>
      </c>
      <c r="G10" t="s">
        <v>88</v>
      </c>
      <c r="H10" t="str">
        <f t="shared" si="2"/>
        <v>C4</v>
      </c>
      <c r="I10" t="str">
        <f t="shared" si="3"/>
        <v>D3</v>
      </c>
      <c r="J10" t="str">
        <f t="shared" si="3"/>
        <v>64</v>
      </c>
      <c r="K10" t="str">
        <f t="shared" si="3"/>
        <v>80</v>
      </c>
      <c r="L10" t="str">
        <f t="shared" si="3"/>
        <v>00</v>
      </c>
      <c r="M10" t="str">
        <f t="shared" si="3"/>
        <v>04</v>
      </c>
      <c r="N10" t="str">
        <f t="shared" si="3"/>
        <v>10</v>
      </c>
      <c r="O10" t="str">
        <f t="shared" si="3"/>
        <v>A0</v>
      </c>
      <c r="P10" t="str">
        <f t="shared" si="3"/>
        <v>0C</v>
      </c>
      <c r="Q10" t="str">
        <f t="shared" si="3"/>
        <v>A2</v>
      </c>
      <c r="R10" t="str">
        <f t="shared" si="3"/>
        <v>AA</v>
      </c>
      <c r="S10" t="str">
        <f t="shared" si="3"/>
        <v>00</v>
      </c>
      <c r="T10" t="str">
        <f t="shared" si="3"/>
        <v>00</v>
      </c>
      <c r="U10" t="str">
        <f t="shared" si="3"/>
        <v>00</v>
      </c>
      <c r="V10" t="str">
        <f t="shared" si="3"/>
        <v>00</v>
      </c>
      <c r="W10" t="str">
        <f t="shared" si="3"/>
        <v>00</v>
      </c>
      <c r="X10" t="str">
        <f t="shared" si="3"/>
        <v>00</v>
      </c>
      <c r="Y10" t="str">
        <f t="shared" si="3"/>
        <v>30</v>
      </c>
      <c r="AB10" t="str">
        <f t="shared" si="5"/>
        <v>23</v>
      </c>
      <c r="AC10" t="str">
        <f t="shared" si="6"/>
        <v>CB</v>
      </c>
      <c r="AD10" t="str">
        <f t="shared" si="7"/>
        <v>26</v>
      </c>
      <c r="AE10" t="str">
        <f t="shared" si="8"/>
        <v>01</v>
      </c>
      <c r="AF10" t="str">
        <f t="shared" si="9"/>
        <v>00</v>
      </c>
      <c r="AG10" t="str">
        <f t="shared" si="10"/>
        <v>20</v>
      </c>
      <c r="AH10" t="str">
        <f t="shared" si="11"/>
        <v>08</v>
      </c>
      <c r="AI10" t="str">
        <f t="shared" si="12"/>
        <v>05</v>
      </c>
      <c r="AJ10" t="str">
        <f t="shared" si="13"/>
        <v>30</v>
      </c>
      <c r="AK10" s="3" t="str">
        <f t="shared" si="14"/>
        <v>45</v>
      </c>
      <c r="AL10" t="str">
        <f t="shared" si="15"/>
        <v>55</v>
      </c>
      <c r="AM10" t="str">
        <f t="shared" si="16"/>
        <v>00</v>
      </c>
      <c r="AN10" t="str">
        <f t="shared" si="17"/>
        <v>00</v>
      </c>
      <c r="AO10" t="str">
        <f t="shared" si="18"/>
        <v>00</v>
      </c>
      <c r="AP10" t="str">
        <f t="shared" si="19"/>
        <v>00</v>
      </c>
      <c r="AQ10" t="str">
        <f t="shared" si="20"/>
        <v>00</v>
      </c>
      <c r="AR10" t="str">
        <f t="shared" si="21"/>
        <v>00</v>
      </c>
      <c r="AS10" t="str">
        <f t="shared" si="22"/>
        <v>0C</v>
      </c>
      <c r="AV10" s="15" t="str">
        <f t="shared" si="23"/>
        <v>00100011</v>
      </c>
      <c r="AW10" s="15" t="str">
        <f t="shared" si="24"/>
        <v>11001011</v>
      </c>
      <c r="AX10" s="15" t="str">
        <f t="shared" si="25"/>
        <v>00100110</v>
      </c>
      <c r="AY10" s="15" t="str">
        <f t="shared" si="26"/>
        <v>00000001</v>
      </c>
      <c r="AZ10" s="15" t="str">
        <f t="shared" si="27"/>
        <v>00000000</v>
      </c>
      <c r="BA10" s="15" t="str">
        <f t="shared" si="28"/>
        <v>00100000</v>
      </c>
      <c r="BB10" s="15" t="str">
        <f t="shared" si="29"/>
        <v>00001000</v>
      </c>
      <c r="BC10" s="15" t="str">
        <f t="shared" si="30"/>
        <v>00000101</v>
      </c>
      <c r="BD10" s="15"/>
      <c r="BE10" s="15" t="str">
        <f t="shared" si="31"/>
        <v>00110000</v>
      </c>
      <c r="BF10" s="35" t="str">
        <f t="shared" si="32"/>
        <v>01000101</v>
      </c>
      <c r="BG10" s="15"/>
      <c r="BH10" s="15" t="str">
        <f t="shared" si="33"/>
        <v>01010101</v>
      </c>
      <c r="BI10" s="15"/>
      <c r="BJ10" s="15" t="str">
        <f t="shared" si="34"/>
        <v>00000000</v>
      </c>
      <c r="BK10" s="15"/>
      <c r="BL10" s="15" t="str">
        <f t="shared" si="35"/>
        <v>00000000</v>
      </c>
      <c r="BM10" s="15"/>
      <c r="BN10" s="15" t="str">
        <f t="shared" si="36"/>
        <v>00000000</v>
      </c>
      <c r="BO10" s="15"/>
      <c r="BP10" s="15" t="str">
        <f t="shared" si="37"/>
        <v>00000000</v>
      </c>
      <c r="BQ10" s="15" t="str">
        <f t="shared" si="38"/>
        <v>00000000</v>
      </c>
      <c r="BR10" s="15" t="str">
        <f t="shared" si="39"/>
        <v>00000000</v>
      </c>
      <c r="BS10" s="15" t="str">
        <f t="shared" si="40"/>
        <v>00001100</v>
      </c>
    </row>
    <row r="11" spans="1:71" x14ac:dyDescent="0.25">
      <c r="A11" t="s">
        <v>61</v>
      </c>
      <c r="C11">
        <v>21</v>
      </c>
      <c r="D11" t="s">
        <v>1</v>
      </c>
      <c r="E11" t="s">
        <v>91</v>
      </c>
      <c r="F11" t="s">
        <v>102</v>
      </c>
      <c r="G11" t="s">
        <v>88</v>
      </c>
      <c r="H11" t="str">
        <f t="shared" si="2"/>
        <v>C4</v>
      </c>
      <c r="I11" t="str">
        <f t="shared" si="3"/>
        <v>D3</v>
      </c>
      <c r="J11" t="str">
        <f t="shared" si="3"/>
        <v>64</v>
      </c>
      <c r="K11" t="str">
        <f t="shared" si="3"/>
        <v>80</v>
      </c>
      <c r="L11" t="str">
        <f t="shared" si="3"/>
        <v>00</v>
      </c>
      <c r="M11" t="str">
        <f t="shared" si="3"/>
        <v>04</v>
      </c>
      <c r="N11" t="str">
        <f t="shared" si="3"/>
        <v>10</v>
      </c>
      <c r="O11" t="str">
        <f t="shared" si="3"/>
        <v>A0</v>
      </c>
      <c r="P11" t="str">
        <f t="shared" si="3"/>
        <v>0C</v>
      </c>
      <c r="Q11" t="str">
        <f t="shared" si="3"/>
        <v>A2</v>
      </c>
      <c r="R11" t="str">
        <f t="shared" si="3"/>
        <v>AA</v>
      </c>
      <c r="S11" t="str">
        <f t="shared" si="3"/>
        <v>00</v>
      </c>
      <c r="T11" t="str">
        <f t="shared" si="3"/>
        <v>00</v>
      </c>
      <c r="U11" t="str">
        <f t="shared" si="3"/>
        <v>00</v>
      </c>
      <c r="V11" t="str">
        <f t="shared" si="3"/>
        <v>00</v>
      </c>
      <c r="W11" t="str">
        <f t="shared" si="3"/>
        <v>00</v>
      </c>
      <c r="X11" t="str">
        <f t="shared" si="3"/>
        <v>00</v>
      </c>
      <c r="Y11" t="str">
        <f t="shared" si="3"/>
        <v>30</v>
      </c>
      <c r="AB11" t="str">
        <f t="shared" si="5"/>
        <v>23</v>
      </c>
      <c r="AC11" t="str">
        <f t="shared" si="6"/>
        <v>CB</v>
      </c>
      <c r="AD11" t="str">
        <f t="shared" si="7"/>
        <v>26</v>
      </c>
      <c r="AE11" t="str">
        <f t="shared" si="8"/>
        <v>01</v>
      </c>
      <c r="AF11" t="str">
        <f t="shared" si="9"/>
        <v>00</v>
      </c>
      <c r="AG11" t="str">
        <f t="shared" si="10"/>
        <v>20</v>
      </c>
      <c r="AH11" t="str">
        <f t="shared" si="11"/>
        <v>08</v>
      </c>
      <c r="AI11" t="str">
        <f t="shared" si="12"/>
        <v>05</v>
      </c>
      <c r="AJ11" t="str">
        <f t="shared" si="13"/>
        <v>30</v>
      </c>
      <c r="AK11" s="3" t="str">
        <f t="shared" si="14"/>
        <v>45</v>
      </c>
      <c r="AL11" t="str">
        <f t="shared" si="15"/>
        <v>55</v>
      </c>
      <c r="AM11" t="str">
        <f t="shared" si="16"/>
        <v>00</v>
      </c>
      <c r="AN11" t="str">
        <f t="shared" si="17"/>
        <v>00</v>
      </c>
      <c r="AO11" t="str">
        <f t="shared" si="18"/>
        <v>00</v>
      </c>
      <c r="AP11" t="str">
        <f t="shared" si="19"/>
        <v>00</v>
      </c>
      <c r="AQ11" t="str">
        <f t="shared" si="20"/>
        <v>00</v>
      </c>
      <c r="AR11" t="str">
        <f t="shared" si="21"/>
        <v>00</v>
      </c>
      <c r="AS11" t="str">
        <f t="shared" si="22"/>
        <v>0C</v>
      </c>
      <c r="AV11" s="15" t="str">
        <f t="shared" si="23"/>
        <v>00100011</v>
      </c>
      <c r="AW11" s="15" t="str">
        <f t="shared" si="24"/>
        <v>11001011</v>
      </c>
      <c r="AX11" s="15" t="str">
        <f t="shared" si="25"/>
        <v>00100110</v>
      </c>
      <c r="AY11" s="15" t="str">
        <f t="shared" si="26"/>
        <v>00000001</v>
      </c>
      <c r="AZ11" s="15" t="str">
        <f t="shared" si="27"/>
        <v>00000000</v>
      </c>
      <c r="BA11" s="15" t="str">
        <f t="shared" si="28"/>
        <v>00100000</v>
      </c>
      <c r="BB11" s="15" t="str">
        <f t="shared" si="29"/>
        <v>00001000</v>
      </c>
      <c r="BC11" s="15" t="str">
        <f t="shared" si="30"/>
        <v>00000101</v>
      </c>
      <c r="BD11" s="15"/>
      <c r="BE11" s="15" t="str">
        <f t="shared" si="31"/>
        <v>00110000</v>
      </c>
      <c r="BF11" s="35" t="str">
        <f t="shared" si="32"/>
        <v>01000101</v>
      </c>
      <c r="BG11" s="15"/>
      <c r="BH11" s="15" t="str">
        <f t="shared" si="33"/>
        <v>01010101</v>
      </c>
      <c r="BI11" s="15"/>
      <c r="BJ11" s="15" t="str">
        <f t="shared" si="34"/>
        <v>00000000</v>
      </c>
      <c r="BK11" s="15"/>
      <c r="BL11" s="15" t="str">
        <f t="shared" si="35"/>
        <v>00000000</v>
      </c>
      <c r="BM11" s="15"/>
      <c r="BN11" s="15" t="str">
        <f t="shared" si="36"/>
        <v>00000000</v>
      </c>
      <c r="BO11" s="15"/>
      <c r="BP11" s="15" t="str">
        <f t="shared" si="37"/>
        <v>00000000</v>
      </c>
      <c r="BQ11" s="15" t="str">
        <f t="shared" si="38"/>
        <v>00000000</v>
      </c>
      <c r="BR11" s="15" t="str">
        <f t="shared" si="39"/>
        <v>00000000</v>
      </c>
      <c r="BS11" s="15" t="str">
        <f t="shared" si="40"/>
        <v>00001100</v>
      </c>
    </row>
    <row r="12" spans="1:71" s="4" customFormat="1" x14ac:dyDescent="0.25">
      <c r="A12" s="4" t="s">
        <v>64</v>
      </c>
      <c r="C12" s="4">
        <v>22</v>
      </c>
      <c r="D12" s="4" t="s">
        <v>62</v>
      </c>
      <c r="E12" t="s">
        <v>91</v>
      </c>
      <c r="F12" t="s">
        <v>102</v>
      </c>
      <c r="G12" t="s">
        <v>88</v>
      </c>
      <c r="H12" s="4" t="str">
        <f t="shared" si="2"/>
        <v>C4</v>
      </c>
      <c r="I12" s="4" t="str">
        <f t="shared" si="3"/>
        <v>D3</v>
      </c>
      <c r="J12" s="4" t="str">
        <f t="shared" si="3"/>
        <v>64</v>
      </c>
      <c r="K12" s="4" t="str">
        <f t="shared" si="3"/>
        <v>80</v>
      </c>
      <c r="L12" s="4" t="str">
        <f t="shared" si="3"/>
        <v>00</v>
      </c>
      <c r="M12" s="4" t="str">
        <f t="shared" si="3"/>
        <v>04</v>
      </c>
      <c r="N12" s="4" t="str">
        <f t="shared" si="3"/>
        <v>10</v>
      </c>
      <c r="O12" s="4" t="str">
        <f t="shared" si="3"/>
        <v>60</v>
      </c>
      <c r="P12" s="4" t="str">
        <f t="shared" si="3"/>
        <v>0C</v>
      </c>
      <c r="Q12" s="4" t="str">
        <f t="shared" si="3"/>
        <v>A2</v>
      </c>
      <c r="R12" s="4" t="str">
        <f t="shared" si="3"/>
        <v>AA</v>
      </c>
      <c r="S12" s="4" t="str">
        <f t="shared" si="3"/>
        <v>00</v>
      </c>
      <c r="T12" s="4" t="str">
        <f t="shared" si="3"/>
        <v>00</v>
      </c>
      <c r="U12" s="4" t="str">
        <f t="shared" si="3"/>
        <v>00</v>
      </c>
      <c r="V12" s="4" t="str">
        <f t="shared" si="3"/>
        <v>00</v>
      </c>
      <c r="W12" s="4" t="str">
        <f t="shared" si="3"/>
        <v>00</v>
      </c>
      <c r="X12" s="4" t="str">
        <f t="shared" si="3"/>
        <v>00</v>
      </c>
      <c r="Y12" s="4" t="str">
        <f t="shared" si="3"/>
        <v>B0</v>
      </c>
      <c r="Z12"/>
      <c r="AB12" t="str">
        <f t="shared" si="5"/>
        <v>23</v>
      </c>
      <c r="AC12" t="str">
        <f t="shared" si="6"/>
        <v>CB</v>
      </c>
      <c r="AD12" t="str">
        <f t="shared" si="7"/>
        <v>26</v>
      </c>
      <c r="AE12" t="str">
        <f t="shared" si="8"/>
        <v>01</v>
      </c>
      <c r="AF12" t="str">
        <f t="shared" si="9"/>
        <v>00</v>
      </c>
      <c r="AG12" t="str">
        <f t="shared" si="10"/>
        <v>20</v>
      </c>
      <c r="AH12" t="str">
        <f t="shared" si="11"/>
        <v>08</v>
      </c>
      <c r="AI12" t="str">
        <f t="shared" si="12"/>
        <v>06</v>
      </c>
      <c r="AJ12" t="str">
        <f t="shared" si="13"/>
        <v>30</v>
      </c>
      <c r="AK12" s="3" t="str">
        <f t="shared" si="14"/>
        <v>45</v>
      </c>
      <c r="AL12" t="str">
        <f t="shared" si="15"/>
        <v>55</v>
      </c>
      <c r="AM12" t="str">
        <f t="shared" si="16"/>
        <v>00</v>
      </c>
      <c r="AN12" t="str">
        <f t="shared" si="17"/>
        <v>00</v>
      </c>
      <c r="AO12" t="str">
        <f t="shared" si="18"/>
        <v>00</v>
      </c>
      <c r="AP12" t="str">
        <f t="shared" si="19"/>
        <v>00</v>
      </c>
      <c r="AQ12" t="str">
        <f t="shared" si="20"/>
        <v>00</v>
      </c>
      <c r="AR12" t="str">
        <f t="shared" si="21"/>
        <v>00</v>
      </c>
      <c r="AS12" t="str">
        <f t="shared" si="22"/>
        <v>0D</v>
      </c>
      <c r="AT12"/>
      <c r="AU12"/>
      <c r="AV12" s="15" t="str">
        <f t="shared" si="23"/>
        <v>00100011</v>
      </c>
      <c r="AW12" s="15" t="str">
        <f t="shared" si="24"/>
        <v>11001011</v>
      </c>
      <c r="AX12" s="15" t="str">
        <f t="shared" si="25"/>
        <v>00100110</v>
      </c>
      <c r="AY12" s="15" t="str">
        <f t="shared" si="26"/>
        <v>00000001</v>
      </c>
      <c r="AZ12" s="15" t="str">
        <f t="shared" si="27"/>
        <v>00000000</v>
      </c>
      <c r="BA12" s="15" t="str">
        <f t="shared" si="28"/>
        <v>00100000</v>
      </c>
      <c r="BB12" s="15" t="str">
        <f t="shared" si="29"/>
        <v>00001000</v>
      </c>
      <c r="BC12" s="15" t="str">
        <f t="shared" si="30"/>
        <v>00000110</v>
      </c>
      <c r="BD12" s="15"/>
      <c r="BE12" s="15" t="str">
        <f t="shared" si="31"/>
        <v>00110000</v>
      </c>
      <c r="BF12" s="35" t="str">
        <f t="shared" si="32"/>
        <v>01000101</v>
      </c>
      <c r="BG12" s="15"/>
      <c r="BH12" s="15" t="str">
        <f t="shared" si="33"/>
        <v>01010101</v>
      </c>
      <c r="BI12" s="15"/>
      <c r="BJ12" s="15" t="str">
        <f t="shared" si="34"/>
        <v>00000000</v>
      </c>
      <c r="BK12" s="15"/>
      <c r="BL12" s="15" t="str">
        <f t="shared" si="35"/>
        <v>00000000</v>
      </c>
      <c r="BM12" s="15"/>
      <c r="BN12" s="15" t="str">
        <f t="shared" si="36"/>
        <v>00000000</v>
      </c>
      <c r="BO12" s="15"/>
      <c r="BP12" s="15" t="str">
        <f t="shared" si="37"/>
        <v>00000000</v>
      </c>
      <c r="BQ12" s="15" t="str">
        <f t="shared" si="38"/>
        <v>00000000</v>
      </c>
      <c r="BR12" s="15" t="str">
        <f t="shared" si="39"/>
        <v>00000000</v>
      </c>
      <c r="BS12" s="15" t="str">
        <f t="shared" si="40"/>
        <v>00001101</v>
      </c>
    </row>
    <row r="13" spans="1:71" x14ac:dyDescent="0.25">
      <c r="A13" t="s">
        <v>61</v>
      </c>
      <c r="C13">
        <v>21</v>
      </c>
      <c r="D13" t="s">
        <v>63</v>
      </c>
      <c r="E13" t="s">
        <v>91</v>
      </c>
      <c r="F13" t="s">
        <v>102</v>
      </c>
      <c r="G13" t="s">
        <v>88</v>
      </c>
      <c r="H13" t="str">
        <f t="shared" si="2"/>
        <v>C4</v>
      </c>
      <c r="I13" t="str">
        <f t="shared" si="3"/>
        <v>D3</v>
      </c>
      <c r="J13" t="str">
        <f t="shared" si="3"/>
        <v>64</v>
      </c>
      <c r="K13" t="str">
        <f t="shared" si="3"/>
        <v>80</v>
      </c>
      <c r="L13" t="str">
        <f t="shared" si="3"/>
        <v>00</v>
      </c>
      <c r="M13" t="str">
        <f t="shared" si="3"/>
        <v>04</v>
      </c>
      <c r="N13" t="str">
        <f t="shared" si="3"/>
        <v>10</v>
      </c>
      <c r="O13" t="str">
        <f t="shared" si="3"/>
        <v>A0</v>
      </c>
      <c r="P13" t="str">
        <f t="shared" si="3"/>
        <v>0C</v>
      </c>
      <c r="Q13" t="str">
        <f t="shared" si="3"/>
        <v>A2</v>
      </c>
      <c r="R13" t="str">
        <f t="shared" si="3"/>
        <v>AA</v>
      </c>
      <c r="S13" t="str">
        <f t="shared" si="3"/>
        <v>00</v>
      </c>
      <c r="T13" t="str">
        <f t="shared" si="3"/>
        <v>00</v>
      </c>
      <c r="U13" t="str">
        <f t="shared" si="3"/>
        <v>00</v>
      </c>
      <c r="V13" t="str">
        <f t="shared" si="3"/>
        <v>00</v>
      </c>
      <c r="W13" t="str">
        <f t="shared" si="3"/>
        <v>00</v>
      </c>
      <c r="X13" t="str">
        <f t="shared" si="3"/>
        <v>00</v>
      </c>
      <c r="Y13" t="str">
        <f t="shared" si="3"/>
        <v>30</v>
      </c>
      <c r="AB13" t="str">
        <f t="shared" si="5"/>
        <v>23</v>
      </c>
      <c r="AC13" t="str">
        <f t="shared" si="6"/>
        <v>CB</v>
      </c>
      <c r="AD13" t="str">
        <f t="shared" si="7"/>
        <v>26</v>
      </c>
      <c r="AE13" t="str">
        <f t="shared" si="8"/>
        <v>01</v>
      </c>
      <c r="AF13" t="str">
        <f t="shared" si="9"/>
        <v>00</v>
      </c>
      <c r="AG13" t="str">
        <f t="shared" si="10"/>
        <v>20</v>
      </c>
      <c r="AH13" t="str">
        <f t="shared" si="11"/>
        <v>08</v>
      </c>
      <c r="AI13" t="str">
        <f t="shared" si="12"/>
        <v>05</v>
      </c>
      <c r="AJ13" t="str">
        <f t="shared" si="13"/>
        <v>30</v>
      </c>
      <c r="AK13" s="3" t="str">
        <f t="shared" si="14"/>
        <v>45</v>
      </c>
      <c r="AL13" t="str">
        <f t="shared" si="15"/>
        <v>55</v>
      </c>
      <c r="AM13" t="str">
        <f t="shared" si="16"/>
        <v>00</v>
      </c>
      <c r="AN13" t="str">
        <f t="shared" si="17"/>
        <v>00</v>
      </c>
      <c r="AO13" t="str">
        <f t="shared" si="18"/>
        <v>00</v>
      </c>
      <c r="AP13" t="str">
        <f t="shared" si="19"/>
        <v>00</v>
      </c>
      <c r="AQ13" t="str">
        <f t="shared" si="20"/>
        <v>00</v>
      </c>
      <c r="AR13" t="str">
        <f t="shared" si="21"/>
        <v>00</v>
      </c>
      <c r="AS13" t="str">
        <f t="shared" si="22"/>
        <v>0C</v>
      </c>
      <c r="AV13" s="15" t="str">
        <f t="shared" si="23"/>
        <v>00100011</v>
      </c>
      <c r="AW13" s="15" t="str">
        <f t="shared" si="24"/>
        <v>11001011</v>
      </c>
      <c r="AX13" s="15" t="str">
        <f t="shared" si="25"/>
        <v>00100110</v>
      </c>
      <c r="AY13" s="15" t="str">
        <f t="shared" si="26"/>
        <v>00000001</v>
      </c>
      <c r="AZ13" s="15" t="str">
        <f t="shared" si="27"/>
        <v>00000000</v>
      </c>
      <c r="BA13" s="15" t="str">
        <f t="shared" si="28"/>
        <v>00100000</v>
      </c>
      <c r="BB13" s="15" t="str">
        <f t="shared" si="29"/>
        <v>00001000</v>
      </c>
      <c r="BC13" s="15" t="str">
        <f t="shared" si="30"/>
        <v>00000101</v>
      </c>
      <c r="BD13" s="15"/>
      <c r="BE13" s="15" t="str">
        <f t="shared" si="31"/>
        <v>00110000</v>
      </c>
      <c r="BF13" s="35" t="str">
        <f t="shared" si="32"/>
        <v>01000101</v>
      </c>
      <c r="BG13" s="15"/>
      <c r="BH13" s="15" t="str">
        <f t="shared" si="33"/>
        <v>01010101</v>
      </c>
      <c r="BI13" s="15"/>
      <c r="BJ13" s="15" t="str">
        <f t="shared" si="34"/>
        <v>00000000</v>
      </c>
      <c r="BK13" s="15"/>
      <c r="BL13" s="15" t="str">
        <f t="shared" si="35"/>
        <v>00000000</v>
      </c>
      <c r="BM13" s="15"/>
      <c r="BN13" s="15" t="str">
        <f t="shared" si="36"/>
        <v>00000000</v>
      </c>
      <c r="BO13" s="15"/>
      <c r="BP13" s="15" t="str">
        <f t="shared" si="37"/>
        <v>00000000</v>
      </c>
      <c r="BQ13" s="15" t="str">
        <f t="shared" si="38"/>
        <v>00000000</v>
      </c>
      <c r="BR13" s="15" t="str">
        <f t="shared" si="39"/>
        <v>00000000</v>
      </c>
      <c r="BS13" s="15" t="str">
        <f t="shared" si="40"/>
        <v>00001100</v>
      </c>
    </row>
    <row r="14" spans="1:71" x14ac:dyDescent="0.25">
      <c r="A14" t="s">
        <v>60</v>
      </c>
      <c r="C14">
        <v>21</v>
      </c>
      <c r="D14" t="s">
        <v>21</v>
      </c>
      <c r="E14" t="s">
        <v>91</v>
      </c>
      <c r="F14" t="s">
        <v>102</v>
      </c>
      <c r="G14" t="s">
        <v>88</v>
      </c>
      <c r="H14" s="9" t="str">
        <f t="shared" si="2"/>
        <v>C4</v>
      </c>
      <c r="I14" s="9" t="str">
        <f t="shared" si="3"/>
        <v>D3</v>
      </c>
      <c r="J14" s="9" t="str">
        <f t="shared" si="3"/>
        <v>64</v>
      </c>
      <c r="K14" s="9" t="str">
        <f t="shared" si="3"/>
        <v>80</v>
      </c>
      <c r="L14" s="9" t="str">
        <f t="shared" si="3"/>
        <v>00</v>
      </c>
      <c r="M14" s="1" t="str">
        <f t="shared" si="3"/>
        <v>00</v>
      </c>
      <c r="N14" s="9" t="str">
        <f t="shared" si="3"/>
        <v>10</v>
      </c>
      <c r="O14" s="9" t="str">
        <f t="shared" si="3"/>
        <v>A0</v>
      </c>
      <c r="P14" s="9" t="str">
        <f t="shared" si="3"/>
        <v>0C</v>
      </c>
      <c r="Q14" s="9" t="str">
        <f t="shared" si="3"/>
        <v>A2</v>
      </c>
      <c r="R14" t="str">
        <f t="shared" si="3"/>
        <v>AA</v>
      </c>
      <c r="S14" t="str">
        <f t="shared" si="3"/>
        <v>00</v>
      </c>
      <c r="T14" t="str">
        <f t="shared" si="3"/>
        <v>00</v>
      </c>
      <c r="U14" t="str">
        <f t="shared" si="3"/>
        <v>00</v>
      </c>
      <c r="V14" t="str">
        <f t="shared" si="3"/>
        <v>00</v>
      </c>
      <c r="W14" t="str">
        <f t="shared" si="3"/>
        <v>00</v>
      </c>
      <c r="X14" t="str">
        <f t="shared" si="3"/>
        <v>00</v>
      </c>
      <c r="Y14" t="str">
        <f t="shared" si="3"/>
        <v>37</v>
      </c>
      <c r="AB14" t="str">
        <f t="shared" si="5"/>
        <v>23</v>
      </c>
      <c r="AC14" t="str">
        <f t="shared" si="6"/>
        <v>CB</v>
      </c>
      <c r="AD14" t="str">
        <f t="shared" si="7"/>
        <v>26</v>
      </c>
      <c r="AE14" t="str">
        <f t="shared" si="8"/>
        <v>01</v>
      </c>
      <c r="AF14" t="str">
        <f t="shared" si="9"/>
        <v>00</v>
      </c>
      <c r="AG14" t="str">
        <f t="shared" si="10"/>
        <v>00</v>
      </c>
      <c r="AH14" t="str">
        <f t="shared" si="11"/>
        <v>08</v>
      </c>
      <c r="AI14" t="str">
        <f t="shared" si="12"/>
        <v>05</v>
      </c>
      <c r="AJ14" t="str">
        <f t="shared" si="13"/>
        <v>30</v>
      </c>
      <c r="AK14" s="3" t="str">
        <f t="shared" si="14"/>
        <v>45</v>
      </c>
      <c r="AL14" t="str">
        <f t="shared" si="15"/>
        <v>55</v>
      </c>
      <c r="AM14" t="str">
        <f t="shared" si="16"/>
        <v>00</v>
      </c>
      <c r="AN14" t="str">
        <f t="shared" si="17"/>
        <v>00</v>
      </c>
      <c r="AO14" t="str">
        <f t="shared" si="18"/>
        <v>00</v>
      </c>
      <c r="AP14" t="str">
        <f t="shared" si="19"/>
        <v>00</v>
      </c>
      <c r="AQ14" t="str">
        <f t="shared" si="20"/>
        <v>00</v>
      </c>
      <c r="AR14" t="str">
        <f t="shared" si="21"/>
        <v>00</v>
      </c>
      <c r="AS14" t="str">
        <f t="shared" si="22"/>
        <v>EC</v>
      </c>
      <c r="AV14" s="15" t="str">
        <f t="shared" si="23"/>
        <v>00100011</v>
      </c>
      <c r="AW14" s="15" t="str">
        <f t="shared" si="24"/>
        <v>11001011</v>
      </c>
      <c r="AX14" s="15" t="str">
        <f t="shared" si="25"/>
        <v>00100110</v>
      </c>
      <c r="AY14" s="15" t="str">
        <f t="shared" si="26"/>
        <v>00000001</v>
      </c>
      <c r="AZ14" s="15" t="str">
        <f t="shared" si="27"/>
        <v>00000000</v>
      </c>
      <c r="BA14" s="15" t="str">
        <f t="shared" si="28"/>
        <v>00000000</v>
      </c>
      <c r="BB14" s="15" t="str">
        <f t="shared" si="29"/>
        <v>00001000</v>
      </c>
      <c r="BC14" s="15" t="str">
        <f t="shared" si="30"/>
        <v>00000101</v>
      </c>
      <c r="BD14" s="15"/>
      <c r="BE14" s="15" t="str">
        <f t="shared" si="31"/>
        <v>00110000</v>
      </c>
      <c r="BF14" s="35" t="str">
        <f t="shared" si="32"/>
        <v>01000101</v>
      </c>
      <c r="BG14" s="15"/>
      <c r="BH14" s="15" t="str">
        <f t="shared" si="33"/>
        <v>01010101</v>
      </c>
      <c r="BI14" s="15"/>
      <c r="BJ14" s="15" t="str">
        <f t="shared" si="34"/>
        <v>00000000</v>
      </c>
      <c r="BK14" s="15"/>
      <c r="BL14" s="15" t="str">
        <f t="shared" si="35"/>
        <v>00000000</v>
      </c>
      <c r="BM14" s="15"/>
      <c r="BN14" s="15" t="str">
        <f t="shared" si="36"/>
        <v>00000000</v>
      </c>
      <c r="BO14" s="15"/>
      <c r="BP14" s="15" t="str">
        <f t="shared" si="37"/>
        <v>00000000</v>
      </c>
      <c r="BQ14" s="15" t="str">
        <f t="shared" si="38"/>
        <v>00000000</v>
      </c>
      <c r="BR14" s="15" t="str">
        <f t="shared" si="39"/>
        <v>00000000</v>
      </c>
      <c r="BS14" s="15" t="str">
        <f t="shared" si="40"/>
        <v>11101100</v>
      </c>
    </row>
    <row r="15" spans="1:71" x14ac:dyDescent="0.25">
      <c r="A15" t="s">
        <v>66</v>
      </c>
      <c r="C15">
        <v>21</v>
      </c>
      <c r="D15" t="s">
        <v>1</v>
      </c>
      <c r="E15" t="s">
        <v>91</v>
      </c>
      <c r="F15" t="s">
        <v>102</v>
      </c>
      <c r="G15" t="s">
        <v>88</v>
      </c>
      <c r="H15" s="9" t="str">
        <f t="shared" si="2"/>
        <v>C4</v>
      </c>
      <c r="I15" s="9" t="str">
        <f t="shared" si="3"/>
        <v>D3</v>
      </c>
      <c r="J15" s="9" t="str">
        <f t="shared" si="3"/>
        <v>64</v>
      </c>
      <c r="K15" s="9" t="str">
        <f t="shared" si="3"/>
        <v>80</v>
      </c>
      <c r="L15" s="9" t="str">
        <f t="shared" si="3"/>
        <v>00</v>
      </c>
      <c r="M15" s="6" t="str">
        <f t="shared" si="3"/>
        <v>04</v>
      </c>
      <c r="N15" s="9" t="str">
        <f t="shared" si="3"/>
        <v>10</v>
      </c>
      <c r="O15" s="9" t="str">
        <f t="shared" si="3"/>
        <v>A0</v>
      </c>
      <c r="P15" s="9" t="str">
        <f t="shared" si="3"/>
        <v>0C</v>
      </c>
      <c r="Q15" s="9" t="str">
        <f t="shared" si="3"/>
        <v>A2</v>
      </c>
      <c r="R15" t="str">
        <f t="shared" si="3"/>
        <v>86</v>
      </c>
      <c r="S15" t="str">
        <f t="shared" si="3"/>
        <v>00</v>
      </c>
      <c r="T15" t="str">
        <f t="shared" si="3"/>
        <v>00</v>
      </c>
      <c r="U15" t="str">
        <f t="shared" si="3"/>
        <v>00</v>
      </c>
      <c r="V15" t="str">
        <f t="shared" si="3"/>
        <v>00</v>
      </c>
      <c r="W15" t="str">
        <f t="shared" si="3"/>
        <v>00</v>
      </c>
      <c r="X15" t="str">
        <f t="shared" si="3"/>
        <v>00</v>
      </c>
      <c r="Y15" t="str">
        <f t="shared" si="3"/>
        <v>18</v>
      </c>
      <c r="AB15" t="str">
        <f t="shared" si="5"/>
        <v>23</v>
      </c>
      <c r="AC15" t="str">
        <f t="shared" si="6"/>
        <v>CB</v>
      </c>
      <c r="AD15" t="str">
        <f t="shared" si="7"/>
        <v>26</v>
      </c>
      <c r="AE15" t="str">
        <f t="shared" si="8"/>
        <v>01</v>
      </c>
      <c r="AF15" t="str">
        <f t="shared" si="9"/>
        <v>00</v>
      </c>
      <c r="AG15" t="str">
        <f t="shared" si="10"/>
        <v>20</v>
      </c>
      <c r="AH15" t="str">
        <f t="shared" si="11"/>
        <v>08</v>
      </c>
      <c r="AI15" t="str">
        <f t="shared" si="12"/>
        <v>05</v>
      </c>
      <c r="AJ15" t="str">
        <f t="shared" si="13"/>
        <v>30</v>
      </c>
      <c r="AK15" s="3" t="str">
        <f t="shared" si="14"/>
        <v>45</v>
      </c>
      <c r="AL15" t="str">
        <f t="shared" si="15"/>
        <v>61</v>
      </c>
      <c r="AM15" t="str">
        <f t="shared" si="16"/>
        <v>00</v>
      </c>
      <c r="AN15" t="str">
        <f t="shared" si="17"/>
        <v>00</v>
      </c>
      <c r="AO15" t="str">
        <f t="shared" si="18"/>
        <v>00</v>
      </c>
      <c r="AP15" t="str">
        <f t="shared" si="19"/>
        <v>00</v>
      </c>
      <c r="AQ15" t="str">
        <f t="shared" si="20"/>
        <v>00</v>
      </c>
      <c r="AR15" t="str">
        <f t="shared" si="21"/>
        <v>00</v>
      </c>
      <c r="AS15" t="str">
        <f t="shared" si="22"/>
        <v>18</v>
      </c>
      <c r="AV15" s="15" t="str">
        <f t="shared" si="23"/>
        <v>00100011</v>
      </c>
      <c r="AW15" s="15" t="str">
        <f t="shared" si="24"/>
        <v>11001011</v>
      </c>
      <c r="AX15" s="15" t="str">
        <f t="shared" si="25"/>
        <v>00100110</v>
      </c>
      <c r="AY15" s="15" t="str">
        <f t="shared" si="26"/>
        <v>00000001</v>
      </c>
      <c r="AZ15" s="15" t="str">
        <f t="shared" si="27"/>
        <v>00000000</v>
      </c>
      <c r="BA15" s="15" t="str">
        <f t="shared" si="28"/>
        <v>00100000</v>
      </c>
      <c r="BB15" s="15" t="str">
        <f t="shared" si="29"/>
        <v>00001000</v>
      </c>
      <c r="BC15" s="15" t="str">
        <f t="shared" si="30"/>
        <v>00000101</v>
      </c>
      <c r="BD15" s="22">
        <f t="shared" ref="BD15:BD35" si="41">BIN2DEC(BC15)</f>
        <v>5</v>
      </c>
      <c r="BE15" s="15" t="str">
        <f t="shared" si="31"/>
        <v>00110000</v>
      </c>
      <c r="BF15" s="35" t="str">
        <f t="shared" si="32"/>
        <v>01000101</v>
      </c>
      <c r="BG15" s="15"/>
      <c r="BH15" s="15" t="str">
        <f t="shared" si="33"/>
        <v>01100001</v>
      </c>
      <c r="BI15" s="15"/>
      <c r="BJ15" s="15" t="str">
        <f t="shared" si="34"/>
        <v>00000000</v>
      </c>
      <c r="BK15" s="15"/>
      <c r="BL15" s="15" t="str">
        <f t="shared" si="35"/>
        <v>00000000</v>
      </c>
      <c r="BM15" s="15"/>
      <c r="BN15" s="15" t="str">
        <f t="shared" si="36"/>
        <v>00000000</v>
      </c>
      <c r="BO15" s="15"/>
      <c r="BP15" s="15" t="str">
        <f t="shared" si="37"/>
        <v>00000000</v>
      </c>
      <c r="BQ15" s="15" t="str">
        <f t="shared" si="38"/>
        <v>00000000</v>
      </c>
      <c r="BR15" s="15" t="str">
        <f t="shared" si="39"/>
        <v>00000000</v>
      </c>
      <c r="BS15" s="15" t="str">
        <f t="shared" si="40"/>
        <v>00011000</v>
      </c>
    </row>
    <row r="16" spans="1:71" x14ac:dyDescent="0.25">
      <c r="A16" t="s">
        <v>67</v>
      </c>
      <c r="C16">
        <v>21</v>
      </c>
      <c r="D16" t="s">
        <v>21</v>
      </c>
      <c r="E16" t="s">
        <v>91</v>
      </c>
      <c r="F16" t="s">
        <v>102</v>
      </c>
      <c r="G16" t="s">
        <v>88</v>
      </c>
      <c r="H16" s="9" t="str">
        <f t="shared" si="2"/>
        <v>C4</v>
      </c>
      <c r="I16" s="9" t="str">
        <f t="shared" si="3"/>
        <v>D3</v>
      </c>
      <c r="J16" s="9" t="str">
        <f t="shared" si="3"/>
        <v>64</v>
      </c>
      <c r="K16" s="9" t="str">
        <f t="shared" si="3"/>
        <v>80</v>
      </c>
      <c r="L16" s="9" t="str">
        <f t="shared" si="3"/>
        <v>00</v>
      </c>
      <c r="M16" s="1" t="str">
        <f t="shared" si="3"/>
        <v>00</v>
      </c>
      <c r="N16" s="9" t="str">
        <f t="shared" si="3"/>
        <v>10</v>
      </c>
      <c r="O16" s="9" t="str">
        <f t="shared" si="3"/>
        <v>A0</v>
      </c>
      <c r="P16" s="9" t="str">
        <f t="shared" si="3"/>
        <v>0C</v>
      </c>
      <c r="Q16" s="9" t="str">
        <f t="shared" si="3"/>
        <v>A2</v>
      </c>
      <c r="R16" t="str">
        <f t="shared" si="3"/>
        <v>86</v>
      </c>
      <c r="S16" t="str">
        <f t="shared" si="3"/>
        <v>00</v>
      </c>
      <c r="T16" t="str">
        <f t="shared" si="3"/>
        <v>00</v>
      </c>
      <c r="U16" t="str">
        <f t="shared" si="3"/>
        <v>00</v>
      </c>
      <c r="V16" t="str">
        <f t="shared" si="3"/>
        <v>00</v>
      </c>
      <c r="W16" t="str">
        <f t="shared" si="3"/>
        <v>00</v>
      </c>
      <c r="X16" t="str">
        <f t="shared" si="3"/>
        <v>00</v>
      </c>
      <c r="Y16" t="str">
        <f t="shared" si="3"/>
        <v>1F</v>
      </c>
      <c r="AB16" t="str">
        <f t="shared" si="5"/>
        <v>23</v>
      </c>
      <c r="AC16" t="str">
        <f t="shared" si="6"/>
        <v>CB</v>
      </c>
      <c r="AD16" t="str">
        <f t="shared" si="7"/>
        <v>26</v>
      </c>
      <c r="AE16" t="str">
        <f t="shared" si="8"/>
        <v>01</v>
      </c>
      <c r="AF16" t="str">
        <f t="shared" si="9"/>
        <v>00</v>
      </c>
      <c r="AG16" t="str">
        <f t="shared" si="10"/>
        <v>00</v>
      </c>
      <c r="AH16" t="str">
        <f t="shared" si="11"/>
        <v>08</v>
      </c>
      <c r="AI16" t="str">
        <f t="shared" si="12"/>
        <v>05</v>
      </c>
      <c r="AJ16" t="str">
        <f t="shared" si="13"/>
        <v>30</v>
      </c>
      <c r="AK16" s="3" t="str">
        <f t="shared" si="14"/>
        <v>45</v>
      </c>
      <c r="AL16" t="str">
        <f t="shared" si="15"/>
        <v>61</v>
      </c>
      <c r="AM16" t="str">
        <f t="shared" si="16"/>
        <v>00</v>
      </c>
      <c r="AN16" t="str">
        <f t="shared" si="17"/>
        <v>00</v>
      </c>
      <c r="AO16" t="str">
        <f t="shared" si="18"/>
        <v>00</v>
      </c>
      <c r="AP16" t="str">
        <f t="shared" si="19"/>
        <v>00</v>
      </c>
      <c r="AQ16" t="str">
        <f t="shared" si="20"/>
        <v>00</v>
      </c>
      <c r="AR16" t="str">
        <f t="shared" si="21"/>
        <v>00</v>
      </c>
      <c r="AS16" t="str">
        <f t="shared" si="22"/>
        <v>F8</v>
      </c>
      <c r="AV16" s="15" t="str">
        <f t="shared" si="23"/>
        <v>00100011</v>
      </c>
      <c r="AW16" s="15" t="str">
        <f t="shared" si="24"/>
        <v>11001011</v>
      </c>
      <c r="AX16" s="15" t="str">
        <f t="shared" si="25"/>
        <v>00100110</v>
      </c>
      <c r="AY16" s="15" t="str">
        <f t="shared" si="26"/>
        <v>00000001</v>
      </c>
      <c r="AZ16" s="15" t="str">
        <f t="shared" si="27"/>
        <v>00000000</v>
      </c>
      <c r="BA16" s="15" t="str">
        <f t="shared" si="28"/>
        <v>00000000</v>
      </c>
      <c r="BB16" s="15" t="str">
        <f t="shared" si="29"/>
        <v>00001000</v>
      </c>
      <c r="BC16" s="15" t="str">
        <f t="shared" si="30"/>
        <v>00000101</v>
      </c>
      <c r="BD16" s="22">
        <f t="shared" si="41"/>
        <v>5</v>
      </c>
      <c r="BE16" s="15" t="str">
        <f t="shared" si="31"/>
        <v>00110000</v>
      </c>
      <c r="BF16" s="35" t="str">
        <f t="shared" si="32"/>
        <v>01000101</v>
      </c>
      <c r="BG16" s="15"/>
      <c r="BH16" s="15" t="str">
        <f t="shared" si="33"/>
        <v>01100001</v>
      </c>
      <c r="BI16" s="15"/>
      <c r="BJ16" s="15" t="str">
        <f t="shared" si="34"/>
        <v>00000000</v>
      </c>
      <c r="BK16" s="15"/>
      <c r="BL16" s="15" t="str">
        <f t="shared" si="35"/>
        <v>00000000</v>
      </c>
      <c r="BM16" s="15"/>
      <c r="BN16" s="15" t="str">
        <f t="shared" si="36"/>
        <v>00000000</v>
      </c>
      <c r="BO16" s="15"/>
      <c r="BP16" s="15" t="str">
        <f t="shared" si="37"/>
        <v>00000000</v>
      </c>
      <c r="BQ16" s="15" t="str">
        <f t="shared" si="38"/>
        <v>00000000</v>
      </c>
      <c r="BR16" s="15" t="str">
        <f t="shared" si="39"/>
        <v>00000000</v>
      </c>
      <c r="BS16" s="15" t="str">
        <f t="shared" si="40"/>
        <v>11111000</v>
      </c>
    </row>
    <row r="17" spans="1:72" x14ac:dyDescent="0.25">
      <c r="A17" t="s">
        <v>68</v>
      </c>
      <c r="B17" s="11">
        <v>0.6875</v>
      </c>
      <c r="C17">
        <v>21</v>
      </c>
      <c r="D17" t="s">
        <v>1</v>
      </c>
      <c r="E17" t="s">
        <v>91</v>
      </c>
      <c r="F17" t="s">
        <v>102</v>
      </c>
      <c r="G17" t="s">
        <v>88</v>
      </c>
      <c r="H17" s="9" t="str">
        <f t="shared" si="2"/>
        <v>C4</v>
      </c>
      <c r="I17" s="9" t="str">
        <f t="shared" si="3"/>
        <v>D3</v>
      </c>
      <c r="J17" s="9" t="str">
        <f t="shared" si="3"/>
        <v>64</v>
      </c>
      <c r="K17" s="9" t="str">
        <f t="shared" si="3"/>
        <v>80</v>
      </c>
      <c r="L17" s="9" t="str">
        <f t="shared" si="3"/>
        <v>00</v>
      </c>
      <c r="M17" s="6" t="str">
        <f t="shared" si="3"/>
        <v>04</v>
      </c>
      <c r="N17" s="9" t="str">
        <f t="shared" si="3"/>
        <v>10</v>
      </c>
      <c r="O17" s="9" t="str">
        <f t="shared" si="3"/>
        <v>A0</v>
      </c>
      <c r="P17" s="9" t="str">
        <f t="shared" si="3"/>
        <v>0C</v>
      </c>
      <c r="Q17" s="9" t="str">
        <f t="shared" si="3"/>
        <v>A2</v>
      </c>
      <c r="R17" s="9" t="str">
        <f t="shared" si="3"/>
        <v>C6</v>
      </c>
      <c r="S17" s="9" t="str">
        <f t="shared" si="3"/>
        <v>00</v>
      </c>
      <c r="T17" s="9" t="str">
        <f t="shared" si="3"/>
        <v>00</v>
      </c>
      <c r="U17" s="9" t="str">
        <f t="shared" si="3"/>
        <v>00</v>
      </c>
      <c r="V17" s="9" t="str">
        <f t="shared" si="3"/>
        <v>00</v>
      </c>
      <c r="W17" s="9" t="str">
        <f t="shared" si="3"/>
        <v>00</v>
      </c>
      <c r="X17" s="9" t="str">
        <f t="shared" si="3"/>
        <v>00</v>
      </c>
      <c r="Y17" t="str">
        <f t="shared" si="3"/>
        <v>58</v>
      </c>
      <c r="AB17" t="str">
        <f t="shared" si="5"/>
        <v>23</v>
      </c>
      <c r="AC17" t="str">
        <f t="shared" si="6"/>
        <v>CB</v>
      </c>
      <c r="AD17" t="str">
        <f t="shared" si="7"/>
        <v>26</v>
      </c>
      <c r="AE17" t="str">
        <f t="shared" si="8"/>
        <v>01</v>
      </c>
      <c r="AF17" t="str">
        <f t="shared" si="9"/>
        <v>00</v>
      </c>
      <c r="AG17" t="str">
        <f t="shared" si="10"/>
        <v>20</v>
      </c>
      <c r="AH17" t="str">
        <f t="shared" si="11"/>
        <v>08</v>
      </c>
      <c r="AI17" t="str">
        <f t="shared" si="12"/>
        <v>05</v>
      </c>
      <c r="AJ17" t="str">
        <f t="shared" si="13"/>
        <v>30</v>
      </c>
      <c r="AK17" s="3" t="str">
        <f t="shared" si="14"/>
        <v>45</v>
      </c>
      <c r="AL17" t="str">
        <f t="shared" si="15"/>
        <v>63</v>
      </c>
      <c r="AM17" t="str">
        <f t="shared" si="16"/>
        <v>00</v>
      </c>
      <c r="AN17" t="str">
        <f t="shared" si="17"/>
        <v>00</v>
      </c>
      <c r="AO17" t="str">
        <f t="shared" si="18"/>
        <v>00</v>
      </c>
      <c r="AP17" t="str">
        <f t="shared" si="19"/>
        <v>00</v>
      </c>
      <c r="AQ17" t="str">
        <f t="shared" si="20"/>
        <v>00</v>
      </c>
      <c r="AR17" t="str">
        <f t="shared" si="21"/>
        <v>00</v>
      </c>
      <c r="AS17" t="str">
        <f t="shared" si="22"/>
        <v>1A</v>
      </c>
      <c r="AV17" s="15" t="str">
        <f t="shared" si="23"/>
        <v>00100011</v>
      </c>
      <c r="AW17" s="15" t="str">
        <f t="shared" si="24"/>
        <v>11001011</v>
      </c>
      <c r="AX17" s="15" t="str">
        <f t="shared" si="25"/>
        <v>00100110</v>
      </c>
      <c r="AY17" s="15" t="str">
        <f t="shared" si="26"/>
        <v>00000001</v>
      </c>
      <c r="AZ17" s="15" t="str">
        <f t="shared" si="27"/>
        <v>00000000</v>
      </c>
      <c r="BA17" s="15" t="str">
        <f t="shared" si="28"/>
        <v>00100000</v>
      </c>
      <c r="BB17" s="15" t="str">
        <f t="shared" si="29"/>
        <v>00001000</v>
      </c>
      <c r="BC17" s="15" t="str">
        <f t="shared" si="30"/>
        <v>00000101</v>
      </c>
      <c r="BD17" s="22">
        <f t="shared" si="41"/>
        <v>5</v>
      </c>
      <c r="BE17" s="15" t="str">
        <f t="shared" si="31"/>
        <v>00110000</v>
      </c>
      <c r="BF17" s="35" t="str">
        <f t="shared" si="32"/>
        <v>01000101</v>
      </c>
      <c r="BG17" s="15"/>
      <c r="BH17" s="15" t="str">
        <f t="shared" si="33"/>
        <v>01100011</v>
      </c>
      <c r="BI17" s="15"/>
      <c r="BJ17" s="15" t="str">
        <f t="shared" si="34"/>
        <v>00000000</v>
      </c>
      <c r="BK17" s="15"/>
      <c r="BL17" s="15" t="str">
        <f t="shared" si="35"/>
        <v>00000000</v>
      </c>
      <c r="BM17" s="15"/>
      <c r="BN17" s="15" t="str">
        <f t="shared" si="36"/>
        <v>00000000</v>
      </c>
      <c r="BO17" s="15"/>
      <c r="BP17" s="15" t="str">
        <f t="shared" si="37"/>
        <v>00000000</v>
      </c>
      <c r="BQ17" s="15" t="str">
        <f t="shared" si="38"/>
        <v>00000000</v>
      </c>
      <c r="BR17" s="15" t="str">
        <f t="shared" si="39"/>
        <v>00000000</v>
      </c>
      <c r="BS17" s="15" t="str">
        <f t="shared" si="40"/>
        <v>00011010</v>
      </c>
    </row>
    <row r="18" spans="1:72" x14ac:dyDescent="0.25">
      <c r="A18" t="s">
        <v>69</v>
      </c>
      <c r="B18" s="11">
        <v>0.6875</v>
      </c>
      <c r="C18">
        <v>21</v>
      </c>
      <c r="D18" t="s">
        <v>21</v>
      </c>
      <c r="E18" t="s">
        <v>91</v>
      </c>
      <c r="F18" t="s">
        <v>102</v>
      </c>
      <c r="G18" t="s">
        <v>88</v>
      </c>
      <c r="H18" s="9" t="str">
        <f t="shared" si="2"/>
        <v>C4</v>
      </c>
      <c r="I18" s="9" t="str">
        <f t="shared" si="2"/>
        <v>D3</v>
      </c>
      <c r="J18" s="9" t="str">
        <f t="shared" si="2"/>
        <v>64</v>
      </c>
      <c r="K18" s="9" t="str">
        <f t="shared" si="2"/>
        <v>80</v>
      </c>
      <c r="L18" s="9" t="str">
        <f t="shared" si="2"/>
        <v>00</v>
      </c>
      <c r="M18" s="1" t="str">
        <f t="shared" si="2"/>
        <v>00</v>
      </c>
      <c r="N18" s="9" t="str">
        <f t="shared" si="2"/>
        <v>10</v>
      </c>
      <c r="O18" s="9" t="str">
        <f t="shared" si="2"/>
        <v>A0</v>
      </c>
      <c r="P18" s="9" t="str">
        <f t="shared" si="2"/>
        <v>0C</v>
      </c>
      <c r="Q18" s="9" t="str">
        <f t="shared" si="2"/>
        <v>A2</v>
      </c>
      <c r="R18" s="9" t="str">
        <f t="shared" si="2"/>
        <v>C6</v>
      </c>
      <c r="S18" s="9" t="str">
        <f t="shared" si="2"/>
        <v>00</v>
      </c>
      <c r="T18" s="9" t="str">
        <f t="shared" si="2"/>
        <v>00</v>
      </c>
      <c r="U18" s="9" t="str">
        <f t="shared" si="2"/>
        <v>00</v>
      </c>
      <c r="V18" s="9" t="str">
        <f t="shared" si="2"/>
        <v>00</v>
      </c>
      <c r="W18" s="9" t="str">
        <f t="shared" si="2"/>
        <v>00</v>
      </c>
      <c r="X18" s="9" t="str">
        <f t="shared" ref="X18:Y46" si="42">RIGHT(LEFT($A18,2*X$6),2)</f>
        <v>00</v>
      </c>
      <c r="Y18" t="str">
        <f t="shared" si="42"/>
        <v>5F</v>
      </c>
      <c r="AB18" t="str">
        <f t="shared" si="5"/>
        <v>23</v>
      </c>
      <c r="AC18" t="str">
        <f t="shared" si="6"/>
        <v>CB</v>
      </c>
      <c r="AD18" t="str">
        <f t="shared" si="7"/>
        <v>26</v>
      </c>
      <c r="AE18" t="str">
        <f t="shared" si="8"/>
        <v>01</v>
      </c>
      <c r="AF18" t="str">
        <f t="shared" si="9"/>
        <v>00</v>
      </c>
      <c r="AG18" t="str">
        <f t="shared" si="10"/>
        <v>00</v>
      </c>
      <c r="AH18" t="str">
        <f t="shared" si="11"/>
        <v>08</v>
      </c>
      <c r="AI18" t="str">
        <f t="shared" si="12"/>
        <v>05</v>
      </c>
      <c r="AJ18" t="str">
        <f t="shared" si="13"/>
        <v>30</v>
      </c>
      <c r="AK18" s="3" t="str">
        <f t="shared" si="14"/>
        <v>45</v>
      </c>
      <c r="AL18" t="str">
        <f t="shared" si="15"/>
        <v>63</v>
      </c>
      <c r="AM18" t="str">
        <f t="shared" si="16"/>
        <v>00</v>
      </c>
      <c r="AN18" t="str">
        <f t="shared" si="17"/>
        <v>00</v>
      </c>
      <c r="AO18" t="str">
        <f t="shared" si="18"/>
        <v>00</v>
      </c>
      <c r="AP18" t="str">
        <f t="shared" si="19"/>
        <v>00</v>
      </c>
      <c r="AQ18" t="str">
        <f t="shared" si="20"/>
        <v>00</v>
      </c>
      <c r="AR18" t="str">
        <f t="shared" si="21"/>
        <v>00</v>
      </c>
      <c r="AS18" t="str">
        <f t="shared" si="22"/>
        <v>FA</v>
      </c>
      <c r="AV18" s="15" t="str">
        <f t="shared" si="23"/>
        <v>00100011</v>
      </c>
      <c r="AW18" s="15" t="str">
        <f t="shared" si="24"/>
        <v>11001011</v>
      </c>
      <c r="AX18" s="15" t="str">
        <f t="shared" si="25"/>
        <v>00100110</v>
      </c>
      <c r="AY18" s="15" t="str">
        <f t="shared" si="26"/>
        <v>00000001</v>
      </c>
      <c r="AZ18" s="15" t="str">
        <f t="shared" si="27"/>
        <v>00000000</v>
      </c>
      <c r="BA18" s="15" t="str">
        <f t="shared" si="28"/>
        <v>00000000</v>
      </c>
      <c r="BB18" s="15" t="str">
        <f t="shared" si="29"/>
        <v>00001000</v>
      </c>
      <c r="BC18" s="15" t="str">
        <f t="shared" si="30"/>
        <v>00000101</v>
      </c>
      <c r="BD18" s="22">
        <f t="shared" si="41"/>
        <v>5</v>
      </c>
      <c r="BE18" s="15" t="str">
        <f t="shared" si="31"/>
        <v>00110000</v>
      </c>
      <c r="BF18" s="35" t="str">
        <f t="shared" si="32"/>
        <v>01000101</v>
      </c>
      <c r="BG18" s="15"/>
      <c r="BH18" s="15" t="str">
        <f t="shared" si="33"/>
        <v>01100011</v>
      </c>
      <c r="BI18" s="15"/>
      <c r="BJ18" s="15" t="str">
        <f t="shared" si="34"/>
        <v>00000000</v>
      </c>
      <c r="BK18" s="15"/>
      <c r="BL18" s="15" t="str">
        <f t="shared" si="35"/>
        <v>00000000</v>
      </c>
      <c r="BM18" s="15"/>
      <c r="BN18" s="15" t="str">
        <f t="shared" si="36"/>
        <v>00000000</v>
      </c>
      <c r="BO18" s="15"/>
      <c r="BP18" s="15" t="str">
        <f t="shared" si="37"/>
        <v>00000000</v>
      </c>
      <c r="BQ18" s="15" t="str">
        <f t="shared" si="38"/>
        <v>00000000</v>
      </c>
      <c r="BR18" s="15" t="str">
        <f t="shared" si="39"/>
        <v>00000000</v>
      </c>
      <c r="BS18" s="15" t="str">
        <f t="shared" si="40"/>
        <v>11111010</v>
      </c>
    </row>
    <row r="19" spans="1:72" x14ac:dyDescent="0.25">
      <c r="A19" t="s">
        <v>68</v>
      </c>
      <c r="B19" s="11">
        <v>0.68958333333333333</v>
      </c>
      <c r="C19">
        <v>21</v>
      </c>
      <c r="D19" t="s">
        <v>1</v>
      </c>
      <c r="E19" t="s">
        <v>91</v>
      </c>
      <c r="F19" t="s">
        <v>102</v>
      </c>
      <c r="G19" t="s">
        <v>88</v>
      </c>
      <c r="H19" s="9" t="str">
        <f t="shared" si="2"/>
        <v>C4</v>
      </c>
      <c r="I19" s="9" t="str">
        <f t="shared" si="2"/>
        <v>D3</v>
      </c>
      <c r="J19" s="9" t="str">
        <f t="shared" si="2"/>
        <v>64</v>
      </c>
      <c r="K19" s="9" t="str">
        <f t="shared" si="2"/>
        <v>80</v>
      </c>
      <c r="L19" s="9" t="str">
        <f t="shared" si="2"/>
        <v>00</v>
      </c>
      <c r="M19" s="6" t="str">
        <f t="shared" si="2"/>
        <v>04</v>
      </c>
      <c r="N19" s="9" t="str">
        <f t="shared" si="2"/>
        <v>10</v>
      </c>
      <c r="O19" s="9" t="str">
        <f t="shared" si="2"/>
        <v>A0</v>
      </c>
      <c r="P19" s="9" t="str">
        <f t="shared" si="2"/>
        <v>0C</v>
      </c>
      <c r="Q19" s="9" t="str">
        <f t="shared" si="2"/>
        <v>A2</v>
      </c>
      <c r="R19" s="9" t="str">
        <f t="shared" si="2"/>
        <v>C6</v>
      </c>
      <c r="S19" s="9" t="str">
        <f t="shared" si="2"/>
        <v>00</v>
      </c>
      <c r="T19" s="9" t="str">
        <f t="shared" si="2"/>
        <v>00</v>
      </c>
      <c r="U19" s="9" t="str">
        <f t="shared" si="2"/>
        <v>00</v>
      </c>
      <c r="V19" s="9" t="str">
        <f t="shared" si="2"/>
        <v>00</v>
      </c>
      <c r="W19" s="9" t="str">
        <f t="shared" si="2"/>
        <v>00</v>
      </c>
      <c r="X19" s="9" t="str">
        <f t="shared" si="42"/>
        <v>00</v>
      </c>
      <c r="Y19" t="str">
        <f t="shared" si="42"/>
        <v>58</v>
      </c>
      <c r="AB19" t="str">
        <f t="shared" si="5"/>
        <v>23</v>
      </c>
      <c r="AC19" t="str">
        <f t="shared" si="6"/>
        <v>CB</v>
      </c>
      <c r="AD19" t="str">
        <f t="shared" si="7"/>
        <v>26</v>
      </c>
      <c r="AE19" t="str">
        <f t="shared" si="8"/>
        <v>01</v>
      </c>
      <c r="AF19" t="str">
        <f t="shared" si="9"/>
        <v>00</v>
      </c>
      <c r="AG19" t="str">
        <f t="shared" si="10"/>
        <v>20</v>
      </c>
      <c r="AH19" t="str">
        <f t="shared" si="11"/>
        <v>08</v>
      </c>
      <c r="AI19" t="str">
        <f t="shared" si="12"/>
        <v>05</v>
      </c>
      <c r="AJ19" t="str">
        <f t="shared" si="13"/>
        <v>30</v>
      </c>
      <c r="AK19" s="3" t="str">
        <f t="shared" si="14"/>
        <v>45</v>
      </c>
      <c r="AL19" t="str">
        <f t="shared" si="15"/>
        <v>63</v>
      </c>
      <c r="AM19" t="str">
        <f t="shared" si="16"/>
        <v>00</v>
      </c>
      <c r="AN19" t="str">
        <f t="shared" si="17"/>
        <v>00</v>
      </c>
      <c r="AO19" t="str">
        <f t="shared" si="18"/>
        <v>00</v>
      </c>
      <c r="AP19" t="str">
        <f t="shared" si="19"/>
        <v>00</v>
      </c>
      <c r="AQ19" t="str">
        <f t="shared" si="20"/>
        <v>00</v>
      </c>
      <c r="AR19" t="str">
        <f t="shared" si="21"/>
        <v>00</v>
      </c>
      <c r="AS19" t="str">
        <f t="shared" si="22"/>
        <v>1A</v>
      </c>
      <c r="AV19" s="15" t="str">
        <f t="shared" si="23"/>
        <v>00100011</v>
      </c>
      <c r="AW19" s="15" t="str">
        <f t="shared" si="24"/>
        <v>11001011</v>
      </c>
      <c r="AX19" s="15" t="str">
        <f t="shared" si="25"/>
        <v>00100110</v>
      </c>
      <c r="AY19" s="15" t="str">
        <f t="shared" si="26"/>
        <v>00000001</v>
      </c>
      <c r="AZ19" s="15" t="str">
        <f t="shared" si="27"/>
        <v>00000000</v>
      </c>
      <c r="BA19" s="15" t="str">
        <f t="shared" si="28"/>
        <v>00100000</v>
      </c>
      <c r="BB19" s="15" t="str">
        <f t="shared" si="29"/>
        <v>00001000</v>
      </c>
      <c r="BC19" s="15" t="str">
        <f t="shared" si="30"/>
        <v>00000101</v>
      </c>
      <c r="BD19" s="22">
        <f t="shared" si="41"/>
        <v>5</v>
      </c>
      <c r="BE19" s="15" t="str">
        <f t="shared" si="31"/>
        <v>00110000</v>
      </c>
      <c r="BF19" s="35" t="str">
        <f t="shared" si="32"/>
        <v>01000101</v>
      </c>
      <c r="BG19" s="15"/>
      <c r="BH19" s="15" t="str">
        <f t="shared" si="33"/>
        <v>01100011</v>
      </c>
      <c r="BI19" s="15"/>
      <c r="BJ19" s="15" t="str">
        <f t="shared" si="34"/>
        <v>00000000</v>
      </c>
      <c r="BK19" s="15"/>
      <c r="BL19" s="15" t="str">
        <f t="shared" si="35"/>
        <v>00000000</v>
      </c>
      <c r="BM19" s="15"/>
      <c r="BN19" s="15" t="str">
        <f t="shared" si="36"/>
        <v>00000000</v>
      </c>
      <c r="BO19" s="15"/>
      <c r="BP19" s="15" t="str">
        <f t="shared" si="37"/>
        <v>00000000</v>
      </c>
      <c r="BQ19" s="15" t="str">
        <f t="shared" si="38"/>
        <v>00000000</v>
      </c>
      <c r="BR19" s="15" t="str">
        <f t="shared" si="39"/>
        <v>00000000</v>
      </c>
      <c r="BS19" s="15" t="str">
        <f t="shared" si="40"/>
        <v>00011010</v>
      </c>
    </row>
    <row r="20" spans="1:72" x14ac:dyDescent="0.25">
      <c r="A20" t="s">
        <v>69</v>
      </c>
      <c r="B20" s="11">
        <v>0.68958333333333333</v>
      </c>
      <c r="C20">
        <v>21</v>
      </c>
      <c r="D20" t="s">
        <v>21</v>
      </c>
      <c r="E20" t="s">
        <v>91</v>
      </c>
      <c r="F20" t="s">
        <v>102</v>
      </c>
      <c r="G20" t="s">
        <v>88</v>
      </c>
      <c r="H20" s="9" t="str">
        <f t="shared" si="2"/>
        <v>C4</v>
      </c>
      <c r="I20" s="9" t="str">
        <f t="shared" si="2"/>
        <v>D3</v>
      </c>
      <c r="J20" s="9" t="str">
        <f t="shared" si="2"/>
        <v>64</v>
      </c>
      <c r="K20" s="9" t="str">
        <f t="shared" si="2"/>
        <v>80</v>
      </c>
      <c r="L20" s="9" t="str">
        <f t="shared" si="2"/>
        <v>00</v>
      </c>
      <c r="M20" s="1" t="str">
        <f t="shared" si="2"/>
        <v>00</v>
      </c>
      <c r="N20" s="9" t="str">
        <f t="shared" si="2"/>
        <v>10</v>
      </c>
      <c r="O20" s="9" t="str">
        <f t="shared" si="2"/>
        <v>A0</v>
      </c>
      <c r="P20" s="9" t="str">
        <f t="shared" si="2"/>
        <v>0C</v>
      </c>
      <c r="Q20" s="9" t="str">
        <f t="shared" si="2"/>
        <v>A2</v>
      </c>
      <c r="R20" s="9" t="str">
        <f t="shared" si="2"/>
        <v>C6</v>
      </c>
      <c r="S20" s="9" t="str">
        <f t="shared" si="2"/>
        <v>00</v>
      </c>
      <c r="T20" s="9" t="str">
        <f t="shared" si="2"/>
        <v>00</v>
      </c>
      <c r="U20" s="9" t="str">
        <f t="shared" si="2"/>
        <v>00</v>
      </c>
      <c r="V20" s="9" t="str">
        <f t="shared" si="2"/>
        <v>00</v>
      </c>
      <c r="W20" s="9" t="str">
        <f t="shared" si="2"/>
        <v>00</v>
      </c>
      <c r="X20" s="9" t="str">
        <f t="shared" si="42"/>
        <v>00</v>
      </c>
      <c r="Y20" t="str">
        <f t="shared" si="42"/>
        <v>5F</v>
      </c>
      <c r="AB20" t="str">
        <f t="shared" si="5"/>
        <v>23</v>
      </c>
      <c r="AC20" t="str">
        <f t="shared" si="6"/>
        <v>CB</v>
      </c>
      <c r="AD20" t="str">
        <f t="shared" si="7"/>
        <v>26</v>
      </c>
      <c r="AE20" t="str">
        <f t="shared" si="8"/>
        <v>01</v>
      </c>
      <c r="AF20" t="str">
        <f t="shared" si="9"/>
        <v>00</v>
      </c>
      <c r="AG20" t="str">
        <f t="shared" si="10"/>
        <v>00</v>
      </c>
      <c r="AH20" t="str">
        <f t="shared" si="11"/>
        <v>08</v>
      </c>
      <c r="AI20" t="str">
        <f t="shared" si="12"/>
        <v>05</v>
      </c>
      <c r="AJ20" t="str">
        <f t="shared" si="13"/>
        <v>30</v>
      </c>
      <c r="AK20" s="3" t="str">
        <f t="shared" si="14"/>
        <v>45</v>
      </c>
      <c r="AL20" t="str">
        <f t="shared" si="15"/>
        <v>63</v>
      </c>
      <c r="AM20" t="str">
        <f t="shared" si="16"/>
        <v>00</v>
      </c>
      <c r="AN20" t="str">
        <f t="shared" si="17"/>
        <v>00</v>
      </c>
      <c r="AO20" t="str">
        <f t="shared" si="18"/>
        <v>00</v>
      </c>
      <c r="AP20" t="str">
        <f t="shared" si="19"/>
        <v>00</v>
      </c>
      <c r="AQ20" t="str">
        <f t="shared" si="20"/>
        <v>00</v>
      </c>
      <c r="AR20" t="str">
        <f t="shared" si="21"/>
        <v>00</v>
      </c>
      <c r="AS20" t="str">
        <f t="shared" si="22"/>
        <v>FA</v>
      </c>
      <c r="AV20" s="15" t="str">
        <f t="shared" si="23"/>
        <v>00100011</v>
      </c>
      <c r="AW20" s="15" t="str">
        <f t="shared" si="24"/>
        <v>11001011</v>
      </c>
      <c r="AX20" s="15" t="str">
        <f t="shared" si="25"/>
        <v>00100110</v>
      </c>
      <c r="AY20" s="15" t="str">
        <f t="shared" si="26"/>
        <v>00000001</v>
      </c>
      <c r="AZ20" s="15" t="str">
        <f t="shared" si="27"/>
        <v>00000000</v>
      </c>
      <c r="BA20" s="15" t="str">
        <f t="shared" si="28"/>
        <v>00000000</v>
      </c>
      <c r="BB20" s="15" t="str">
        <f t="shared" si="29"/>
        <v>00001000</v>
      </c>
      <c r="BC20" s="15" t="str">
        <f t="shared" si="30"/>
        <v>00000101</v>
      </c>
      <c r="BD20" s="22">
        <f t="shared" si="41"/>
        <v>5</v>
      </c>
      <c r="BE20" s="15" t="str">
        <f t="shared" si="31"/>
        <v>00110000</v>
      </c>
      <c r="BF20" s="35" t="str">
        <f t="shared" si="32"/>
        <v>01000101</v>
      </c>
      <c r="BG20" s="15"/>
      <c r="BH20" s="15" t="str">
        <f t="shared" si="33"/>
        <v>01100011</v>
      </c>
      <c r="BI20" s="15"/>
      <c r="BJ20" s="15" t="str">
        <f t="shared" si="34"/>
        <v>00000000</v>
      </c>
      <c r="BK20" s="15"/>
      <c r="BL20" s="15" t="str">
        <f t="shared" si="35"/>
        <v>00000000</v>
      </c>
      <c r="BM20" s="15"/>
      <c r="BN20" s="15" t="str">
        <f t="shared" si="36"/>
        <v>00000000</v>
      </c>
      <c r="BO20" s="15"/>
      <c r="BP20" s="15" t="str">
        <f t="shared" si="37"/>
        <v>00000000</v>
      </c>
      <c r="BQ20" s="15" t="str">
        <f t="shared" si="38"/>
        <v>00000000</v>
      </c>
      <c r="BR20" s="15" t="str">
        <f t="shared" si="39"/>
        <v>00000000</v>
      </c>
      <c r="BS20" s="15" t="str">
        <f t="shared" si="40"/>
        <v>11111010</v>
      </c>
    </row>
    <row r="21" spans="1:72" x14ac:dyDescent="0.25">
      <c r="A21" t="s">
        <v>72</v>
      </c>
      <c r="B21" s="11">
        <v>0.69305555555555554</v>
      </c>
      <c r="C21">
        <v>22</v>
      </c>
      <c r="D21" t="s">
        <v>1</v>
      </c>
      <c r="E21" t="s">
        <v>91</v>
      </c>
      <c r="F21" t="s">
        <v>102</v>
      </c>
      <c r="G21" t="s">
        <v>88</v>
      </c>
      <c r="H21" s="9" t="str">
        <f t="shared" si="2"/>
        <v>C4</v>
      </c>
      <c r="I21" s="9" t="str">
        <f t="shared" si="2"/>
        <v>D3</v>
      </c>
      <c r="J21" s="9" t="str">
        <f t="shared" si="2"/>
        <v>64</v>
      </c>
      <c r="K21" s="9" t="str">
        <f t="shared" si="2"/>
        <v>80</v>
      </c>
      <c r="L21" s="9" t="str">
        <f t="shared" si="2"/>
        <v>00</v>
      </c>
      <c r="M21" s="6" t="str">
        <f t="shared" si="2"/>
        <v>04</v>
      </c>
      <c r="N21" s="9" t="str">
        <f t="shared" si="2"/>
        <v>10</v>
      </c>
      <c r="O21" s="1" t="str">
        <f t="shared" si="2"/>
        <v>60</v>
      </c>
      <c r="P21" s="9" t="str">
        <f t="shared" si="2"/>
        <v>0C</v>
      </c>
      <c r="Q21" s="9" t="str">
        <f t="shared" si="2"/>
        <v>A2</v>
      </c>
      <c r="R21" s="9" t="str">
        <f t="shared" si="2"/>
        <v>C6</v>
      </c>
      <c r="S21" s="9" t="str">
        <f t="shared" si="2"/>
        <v>00</v>
      </c>
      <c r="T21" s="9" t="str">
        <f t="shared" si="2"/>
        <v>00</v>
      </c>
      <c r="U21" s="9" t="str">
        <f t="shared" si="2"/>
        <v>00</v>
      </c>
      <c r="V21" s="9" t="str">
        <f t="shared" si="2"/>
        <v>00</v>
      </c>
      <c r="W21" s="9" t="str">
        <f t="shared" si="2"/>
        <v>00</v>
      </c>
      <c r="X21" s="9" t="str">
        <f t="shared" si="42"/>
        <v>00</v>
      </c>
      <c r="Y21" t="str">
        <f t="shared" si="42"/>
        <v>D8</v>
      </c>
      <c r="AB21" t="str">
        <f t="shared" si="5"/>
        <v>23</v>
      </c>
      <c r="AC21" t="str">
        <f t="shared" si="6"/>
        <v>CB</v>
      </c>
      <c r="AD21" t="str">
        <f t="shared" si="7"/>
        <v>26</v>
      </c>
      <c r="AE21" t="str">
        <f t="shared" si="8"/>
        <v>01</v>
      </c>
      <c r="AF21" t="str">
        <f t="shared" si="9"/>
        <v>00</v>
      </c>
      <c r="AG21" t="str">
        <f t="shared" si="10"/>
        <v>20</v>
      </c>
      <c r="AH21" t="str">
        <f t="shared" si="11"/>
        <v>08</v>
      </c>
      <c r="AI21" t="str">
        <f t="shared" si="12"/>
        <v>06</v>
      </c>
      <c r="AJ21" t="str">
        <f t="shared" si="13"/>
        <v>30</v>
      </c>
      <c r="AK21" s="3" t="str">
        <f t="shared" si="14"/>
        <v>45</v>
      </c>
      <c r="AL21" t="str">
        <f t="shared" si="15"/>
        <v>63</v>
      </c>
      <c r="AM21" t="str">
        <f t="shared" si="16"/>
        <v>00</v>
      </c>
      <c r="AN21" t="str">
        <f t="shared" si="17"/>
        <v>00</v>
      </c>
      <c r="AO21" t="str">
        <f t="shared" si="18"/>
        <v>00</v>
      </c>
      <c r="AP21" t="str">
        <f t="shared" si="19"/>
        <v>00</v>
      </c>
      <c r="AQ21" t="str">
        <f t="shared" si="20"/>
        <v>00</v>
      </c>
      <c r="AR21" t="str">
        <f t="shared" si="21"/>
        <v>00</v>
      </c>
      <c r="AS21" t="str">
        <f t="shared" si="22"/>
        <v>1B</v>
      </c>
      <c r="AV21" s="15" t="str">
        <f t="shared" si="23"/>
        <v>00100011</v>
      </c>
      <c r="AW21" s="15" t="str">
        <f t="shared" si="24"/>
        <v>11001011</v>
      </c>
      <c r="AX21" s="15" t="str">
        <f t="shared" si="25"/>
        <v>00100110</v>
      </c>
      <c r="AY21" s="15" t="str">
        <f t="shared" si="26"/>
        <v>00000001</v>
      </c>
      <c r="AZ21" s="15" t="str">
        <f t="shared" si="27"/>
        <v>00000000</v>
      </c>
      <c r="BA21" s="15" t="str">
        <f t="shared" si="28"/>
        <v>00100000</v>
      </c>
      <c r="BB21" s="15" t="str">
        <f t="shared" si="29"/>
        <v>00001000</v>
      </c>
      <c r="BC21" s="15" t="str">
        <f t="shared" si="30"/>
        <v>00000110</v>
      </c>
      <c r="BD21" s="22">
        <f t="shared" si="41"/>
        <v>6</v>
      </c>
      <c r="BE21" s="15" t="str">
        <f t="shared" si="31"/>
        <v>00110000</v>
      </c>
      <c r="BF21" s="35" t="str">
        <f t="shared" si="32"/>
        <v>01000101</v>
      </c>
      <c r="BG21" s="15"/>
      <c r="BH21" s="15" t="str">
        <f t="shared" si="33"/>
        <v>01100011</v>
      </c>
      <c r="BI21" s="15"/>
      <c r="BJ21" s="15" t="str">
        <f t="shared" si="34"/>
        <v>00000000</v>
      </c>
      <c r="BK21" s="15"/>
      <c r="BL21" s="15" t="str">
        <f t="shared" si="35"/>
        <v>00000000</v>
      </c>
      <c r="BM21" s="15"/>
      <c r="BN21" s="15" t="str">
        <f t="shared" si="36"/>
        <v>00000000</v>
      </c>
      <c r="BO21" s="15"/>
      <c r="BP21" s="15" t="str">
        <f t="shared" si="37"/>
        <v>00000000</v>
      </c>
      <c r="BQ21" s="15" t="str">
        <f t="shared" si="38"/>
        <v>00000000</v>
      </c>
      <c r="BR21" s="15" t="str">
        <f t="shared" si="39"/>
        <v>00000000</v>
      </c>
      <c r="BS21" s="15" t="str">
        <f t="shared" si="40"/>
        <v>00011011</v>
      </c>
    </row>
    <row r="22" spans="1:72" x14ac:dyDescent="0.25">
      <c r="A22" t="s">
        <v>73</v>
      </c>
      <c r="B22" s="11">
        <v>0.69305555555555554</v>
      </c>
      <c r="C22">
        <v>23</v>
      </c>
      <c r="E22" t="s">
        <v>91</v>
      </c>
      <c r="F22" t="s">
        <v>102</v>
      </c>
      <c r="G22" t="s">
        <v>88</v>
      </c>
      <c r="H22" s="9" t="str">
        <f t="shared" si="2"/>
        <v>C4</v>
      </c>
      <c r="I22" s="9" t="str">
        <f t="shared" si="2"/>
        <v>D3</v>
      </c>
      <c r="J22" s="9" t="str">
        <f t="shared" si="2"/>
        <v>64</v>
      </c>
      <c r="K22" s="9" t="str">
        <f t="shared" si="2"/>
        <v>80</v>
      </c>
      <c r="L22" s="9" t="str">
        <f t="shared" si="2"/>
        <v>00</v>
      </c>
      <c r="M22" s="6" t="str">
        <f t="shared" si="2"/>
        <v>04</v>
      </c>
      <c r="N22" s="9" t="str">
        <f t="shared" si="2"/>
        <v>10</v>
      </c>
      <c r="O22" s="2" t="str">
        <f t="shared" si="2"/>
        <v>E0</v>
      </c>
      <c r="P22" s="9" t="str">
        <f t="shared" si="2"/>
        <v>0C</v>
      </c>
      <c r="Q22" s="9" t="str">
        <f t="shared" si="2"/>
        <v>A2</v>
      </c>
      <c r="R22" s="9" t="str">
        <f t="shared" si="2"/>
        <v>C6</v>
      </c>
      <c r="S22" s="9" t="str">
        <f t="shared" si="2"/>
        <v>00</v>
      </c>
      <c r="T22" s="9" t="str">
        <f t="shared" si="2"/>
        <v>00</v>
      </c>
      <c r="U22" s="9" t="str">
        <f t="shared" si="2"/>
        <v>00</v>
      </c>
      <c r="V22" s="9" t="str">
        <f t="shared" si="2"/>
        <v>00</v>
      </c>
      <c r="W22" s="9" t="str">
        <f t="shared" si="2"/>
        <v>00</v>
      </c>
      <c r="X22" s="9" t="str">
        <f t="shared" si="42"/>
        <v>00</v>
      </c>
      <c r="Y22" t="str">
        <f t="shared" si="42"/>
        <v>38</v>
      </c>
      <c r="AB22" t="str">
        <f t="shared" si="5"/>
        <v>23</v>
      </c>
      <c r="AC22" t="str">
        <f t="shared" si="6"/>
        <v>CB</v>
      </c>
      <c r="AD22" t="str">
        <f t="shared" si="7"/>
        <v>26</v>
      </c>
      <c r="AE22" t="str">
        <f t="shared" si="8"/>
        <v>01</v>
      </c>
      <c r="AF22" t="str">
        <f t="shared" si="9"/>
        <v>00</v>
      </c>
      <c r="AG22" t="str">
        <f t="shared" si="10"/>
        <v>20</v>
      </c>
      <c r="AH22" t="str">
        <f t="shared" si="11"/>
        <v>08</v>
      </c>
      <c r="AI22" t="str">
        <f t="shared" si="12"/>
        <v>07</v>
      </c>
      <c r="AJ22" t="str">
        <f t="shared" si="13"/>
        <v>30</v>
      </c>
      <c r="AK22" s="3" t="str">
        <f t="shared" si="14"/>
        <v>45</v>
      </c>
      <c r="AL22" t="str">
        <f t="shared" si="15"/>
        <v>63</v>
      </c>
      <c r="AM22" t="str">
        <f t="shared" si="16"/>
        <v>00</v>
      </c>
      <c r="AN22" t="str">
        <f t="shared" si="17"/>
        <v>00</v>
      </c>
      <c r="AO22" t="str">
        <f t="shared" si="18"/>
        <v>00</v>
      </c>
      <c r="AP22" t="str">
        <f t="shared" si="19"/>
        <v>00</v>
      </c>
      <c r="AQ22" t="str">
        <f t="shared" si="20"/>
        <v>00</v>
      </c>
      <c r="AR22" t="str">
        <f t="shared" si="21"/>
        <v>00</v>
      </c>
      <c r="AS22" t="str">
        <f t="shared" si="22"/>
        <v>1C</v>
      </c>
      <c r="AV22" s="15" t="str">
        <f t="shared" si="23"/>
        <v>00100011</v>
      </c>
      <c r="AW22" s="15" t="str">
        <f t="shared" si="24"/>
        <v>11001011</v>
      </c>
      <c r="AX22" s="15" t="str">
        <f t="shared" si="25"/>
        <v>00100110</v>
      </c>
      <c r="AY22" s="15" t="str">
        <f t="shared" si="26"/>
        <v>00000001</v>
      </c>
      <c r="AZ22" s="15" t="str">
        <f t="shared" si="27"/>
        <v>00000000</v>
      </c>
      <c r="BA22" s="15" t="str">
        <f t="shared" si="28"/>
        <v>00100000</v>
      </c>
      <c r="BB22" s="15" t="str">
        <f t="shared" si="29"/>
        <v>00001000</v>
      </c>
      <c r="BC22" s="15" t="str">
        <f t="shared" si="30"/>
        <v>00000111</v>
      </c>
      <c r="BD22" s="22">
        <f t="shared" si="41"/>
        <v>7</v>
      </c>
      <c r="BE22" s="15" t="str">
        <f t="shared" si="31"/>
        <v>00110000</v>
      </c>
      <c r="BF22" s="35" t="str">
        <f t="shared" si="32"/>
        <v>01000101</v>
      </c>
      <c r="BG22" s="15"/>
      <c r="BH22" s="15" t="str">
        <f t="shared" si="33"/>
        <v>01100011</v>
      </c>
      <c r="BI22" s="15"/>
      <c r="BJ22" s="15" t="str">
        <f t="shared" si="34"/>
        <v>00000000</v>
      </c>
      <c r="BK22" s="15"/>
      <c r="BL22" s="15" t="str">
        <f t="shared" si="35"/>
        <v>00000000</v>
      </c>
      <c r="BM22" s="15"/>
      <c r="BN22" s="15" t="str">
        <f t="shared" si="36"/>
        <v>00000000</v>
      </c>
      <c r="BO22" s="15"/>
      <c r="BP22" s="15" t="str">
        <f t="shared" si="37"/>
        <v>00000000</v>
      </c>
      <c r="BQ22" s="15" t="str">
        <f t="shared" si="38"/>
        <v>00000000</v>
      </c>
      <c r="BR22" s="15" t="str">
        <f t="shared" si="39"/>
        <v>00000000</v>
      </c>
      <c r="BS22" s="15" t="str">
        <f t="shared" si="40"/>
        <v>00011100</v>
      </c>
    </row>
    <row r="23" spans="1:72" x14ac:dyDescent="0.25">
      <c r="A23" t="s">
        <v>72</v>
      </c>
      <c r="B23" s="11">
        <v>0.69305555555555554</v>
      </c>
      <c r="C23">
        <v>22</v>
      </c>
      <c r="E23" t="s">
        <v>91</v>
      </c>
      <c r="F23" t="s">
        <v>102</v>
      </c>
      <c r="G23" t="s">
        <v>88</v>
      </c>
      <c r="H23" s="9" t="str">
        <f t="shared" ref="H23:W38" si="43">RIGHT(LEFT($A23,2*H$6),2)</f>
        <v>C4</v>
      </c>
      <c r="I23" s="9" t="str">
        <f t="shared" si="43"/>
        <v>D3</v>
      </c>
      <c r="J23" s="9" t="str">
        <f t="shared" si="43"/>
        <v>64</v>
      </c>
      <c r="K23" s="9" t="str">
        <f t="shared" si="43"/>
        <v>80</v>
      </c>
      <c r="L23" s="9" t="str">
        <f t="shared" si="43"/>
        <v>00</v>
      </c>
      <c r="M23" s="6" t="str">
        <f t="shared" si="43"/>
        <v>04</v>
      </c>
      <c r="N23" s="9" t="str">
        <f t="shared" si="43"/>
        <v>10</v>
      </c>
      <c r="O23" s="1" t="str">
        <f t="shared" si="43"/>
        <v>60</v>
      </c>
      <c r="P23" s="9" t="str">
        <f t="shared" si="43"/>
        <v>0C</v>
      </c>
      <c r="Q23" s="9" t="str">
        <f t="shared" si="43"/>
        <v>A2</v>
      </c>
      <c r="R23" s="9" t="str">
        <f t="shared" si="43"/>
        <v>C6</v>
      </c>
      <c r="S23" s="9" t="str">
        <f t="shared" si="43"/>
        <v>00</v>
      </c>
      <c r="T23" s="9" t="str">
        <f t="shared" si="43"/>
        <v>00</v>
      </c>
      <c r="U23" s="9" t="str">
        <f t="shared" si="43"/>
        <v>00</v>
      </c>
      <c r="V23" s="9" t="str">
        <f t="shared" si="43"/>
        <v>00</v>
      </c>
      <c r="W23" s="9" t="str">
        <f t="shared" si="43"/>
        <v>00</v>
      </c>
      <c r="X23" s="9" t="str">
        <f t="shared" si="42"/>
        <v>00</v>
      </c>
      <c r="Y23" t="str">
        <f t="shared" si="42"/>
        <v>D8</v>
      </c>
      <c r="AB23" t="str">
        <f t="shared" si="5"/>
        <v>23</v>
      </c>
      <c r="AC23" t="str">
        <f t="shared" si="6"/>
        <v>CB</v>
      </c>
      <c r="AD23" t="str">
        <f t="shared" si="7"/>
        <v>26</v>
      </c>
      <c r="AE23" t="str">
        <f t="shared" si="8"/>
        <v>01</v>
      </c>
      <c r="AF23" t="str">
        <f t="shared" si="9"/>
        <v>00</v>
      </c>
      <c r="AG23" t="str">
        <f t="shared" si="10"/>
        <v>20</v>
      </c>
      <c r="AH23" t="str">
        <f t="shared" si="11"/>
        <v>08</v>
      </c>
      <c r="AI23" t="str">
        <f t="shared" si="12"/>
        <v>06</v>
      </c>
      <c r="AJ23" t="str">
        <f t="shared" si="13"/>
        <v>30</v>
      </c>
      <c r="AK23" s="3" t="str">
        <f t="shared" si="14"/>
        <v>45</v>
      </c>
      <c r="AL23" t="str">
        <f t="shared" si="15"/>
        <v>63</v>
      </c>
      <c r="AM23" t="str">
        <f t="shared" si="16"/>
        <v>00</v>
      </c>
      <c r="AN23" t="str">
        <f t="shared" si="17"/>
        <v>00</v>
      </c>
      <c r="AO23" t="str">
        <f t="shared" si="18"/>
        <v>00</v>
      </c>
      <c r="AP23" t="str">
        <f t="shared" si="19"/>
        <v>00</v>
      </c>
      <c r="AQ23" t="str">
        <f t="shared" si="20"/>
        <v>00</v>
      </c>
      <c r="AR23" t="str">
        <f t="shared" si="21"/>
        <v>00</v>
      </c>
      <c r="AS23" t="str">
        <f t="shared" si="22"/>
        <v>1B</v>
      </c>
      <c r="AV23" s="15" t="str">
        <f t="shared" si="23"/>
        <v>00100011</v>
      </c>
      <c r="AW23" s="15" t="str">
        <f t="shared" si="24"/>
        <v>11001011</v>
      </c>
      <c r="AX23" s="15" t="str">
        <f t="shared" si="25"/>
        <v>00100110</v>
      </c>
      <c r="AY23" s="15" t="str">
        <f t="shared" si="26"/>
        <v>00000001</v>
      </c>
      <c r="AZ23" s="15" t="str">
        <f t="shared" si="27"/>
        <v>00000000</v>
      </c>
      <c r="BA23" s="15" t="str">
        <f t="shared" si="28"/>
        <v>00100000</v>
      </c>
      <c r="BB23" s="15" t="str">
        <f t="shared" si="29"/>
        <v>00001000</v>
      </c>
      <c r="BC23" s="15" t="str">
        <f t="shared" si="30"/>
        <v>00000110</v>
      </c>
      <c r="BD23" s="22">
        <f t="shared" si="41"/>
        <v>6</v>
      </c>
      <c r="BE23" s="15" t="str">
        <f t="shared" si="31"/>
        <v>00110000</v>
      </c>
      <c r="BF23" s="35" t="str">
        <f t="shared" si="32"/>
        <v>01000101</v>
      </c>
      <c r="BG23" s="15"/>
      <c r="BH23" s="15" t="str">
        <f t="shared" si="33"/>
        <v>01100011</v>
      </c>
      <c r="BI23" s="15"/>
      <c r="BJ23" s="15" t="str">
        <f t="shared" si="34"/>
        <v>00000000</v>
      </c>
      <c r="BK23" s="15"/>
      <c r="BL23" s="15" t="str">
        <f t="shared" si="35"/>
        <v>00000000</v>
      </c>
      <c r="BM23" s="15"/>
      <c r="BN23" s="15" t="str">
        <f t="shared" si="36"/>
        <v>00000000</v>
      </c>
      <c r="BO23" s="15"/>
      <c r="BP23" s="15" t="str">
        <f t="shared" si="37"/>
        <v>00000000</v>
      </c>
      <c r="BQ23" s="15" t="str">
        <f t="shared" si="38"/>
        <v>00000000</v>
      </c>
      <c r="BR23" s="15" t="str">
        <f t="shared" si="39"/>
        <v>00000000</v>
      </c>
      <c r="BS23" s="15" t="str">
        <f t="shared" si="40"/>
        <v>00011011</v>
      </c>
    </row>
    <row r="24" spans="1:72" x14ac:dyDescent="0.25">
      <c r="A24" t="s">
        <v>71</v>
      </c>
      <c r="B24" s="11">
        <v>0.69444444444444453</v>
      </c>
      <c r="C24">
        <v>22</v>
      </c>
      <c r="D24" t="s">
        <v>21</v>
      </c>
      <c r="E24" t="s">
        <v>91</v>
      </c>
      <c r="F24" t="s">
        <v>102</v>
      </c>
      <c r="G24" t="s">
        <v>88</v>
      </c>
      <c r="H24" s="9" t="str">
        <f t="shared" si="43"/>
        <v>C4</v>
      </c>
      <c r="I24" s="9" t="str">
        <f t="shared" si="43"/>
        <v>D3</v>
      </c>
      <c r="J24" s="9" t="str">
        <f t="shared" si="43"/>
        <v>64</v>
      </c>
      <c r="K24" s="9" t="str">
        <f t="shared" si="43"/>
        <v>80</v>
      </c>
      <c r="L24" s="9" t="str">
        <f t="shared" si="43"/>
        <v>00</v>
      </c>
      <c r="M24" s="1" t="str">
        <f t="shared" si="43"/>
        <v>00</v>
      </c>
      <c r="N24" s="9" t="str">
        <f t="shared" si="43"/>
        <v>10</v>
      </c>
      <c r="O24" s="1" t="str">
        <f t="shared" si="43"/>
        <v>60</v>
      </c>
      <c r="P24" s="9" t="str">
        <f t="shared" si="43"/>
        <v>0C</v>
      </c>
      <c r="Q24" s="9" t="str">
        <f t="shared" si="43"/>
        <v>A2</v>
      </c>
      <c r="R24" s="9" t="str">
        <f t="shared" si="43"/>
        <v>C6</v>
      </c>
      <c r="S24" s="9" t="str">
        <f t="shared" si="43"/>
        <v>00</v>
      </c>
      <c r="T24" s="9" t="str">
        <f t="shared" si="43"/>
        <v>00</v>
      </c>
      <c r="U24" s="9" t="str">
        <f t="shared" si="43"/>
        <v>00</v>
      </c>
      <c r="V24" s="9" t="str">
        <f t="shared" si="43"/>
        <v>00</v>
      </c>
      <c r="W24" s="9" t="str">
        <f t="shared" si="43"/>
        <v>00</v>
      </c>
      <c r="X24" s="9" t="str">
        <f t="shared" si="42"/>
        <v>00</v>
      </c>
      <c r="Y24" t="str">
        <f t="shared" si="42"/>
        <v>0D</v>
      </c>
      <c r="AB24" t="str">
        <f t="shared" si="5"/>
        <v>23</v>
      </c>
      <c r="AC24" t="str">
        <f t="shared" si="6"/>
        <v>CB</v>
      </c>
      <c r="AD24" t="str">
        <f t="shared" si="7"/>
        <v>26</v>
      </c>
      <c r="AE24" t="str">
        <f t="shared" si="8"/>
        <v>01</v>
      </c>
      <c r="AF24" t="str">
        <f t="shared" si="9"/>
        <v>00</v>
      </c>
      <c r="AG24" t="str">
        <f t="shared" si="10"/>
        <v>00</v>
      </c>
      <c r="AH24" t="str">
        <f t="shared" si="11"/>
        <v>08</v>
      </c>
      <c r="AI24" t="str">
        <f t="shared" si="12"/>
        <v>06</v>
      </c>
      <c r="AJ24" t="str">
        <f t="shared" si="13"/>
        <v>30</v>
      </c>
      <c r="AK24" s="3" t="str">
        <f t="shared" si="14"/>
        <v>45</v>
      </c>
      <c r="AL24" t="str">
        <f t="shared" si="15"/>
        <v>63</v>
      </c>
      <c r="AM24" t="str">
        <f t="shared" si="16"/>
        <v>00</v>
      </c>
      <c r="AN24" t="str">
        <f t="shared" si="17"/>
        <v>00</v>
      </c>
      <c r="AO24" t="str">
        <f t="shared" si="18"/>
        <v>00</v>
      </c>
      <c r="AP24" t="str">
        <f t="shared" si="19"/>
        <v>00</v>
      </c>
      <c r="AQ24" t="str">
        <f t="shared" si="20"/>
        <v>00</v>
      </c>
      <c r="AR24" t="str">
        <f t="shared" si="21"/>
        <v>00</v>
      </c>
      <c r="AS24" t="str">
        <f t="shared" si="22"/>
        <v>B0</v>
      </c>
      <c r="AV24" s="15" t="str">
        <f t="shared" si="23"/>
        <v>00100011</v>
      </c>
      <c r="AW24" s="15" t="str">
        <f t="shared" si="24"/>
        <v>11001011</v>
      </c>
      <c r="AX24" s="15" t="str">
        <f t="shared" si="25"/>
        <v>00100110</v>
      </c>
      <c r="AY24" s="15" t="str">
        <f t="shared" si="26"/>
        <v>00000001</v>
      </c>
      <c r="AZ24" s="15" t="str">
        <f t="shared" si="27"/>
        <v>00000000</v>
      </c>
      <c r="BA24" s="15" t="str">
        <f t="shared" si="28"/>
        <v>00000000</v>
      </c>
      <c r="BB24" s="15" t="str">
        <f t="shared" si="29"/>
        <v>00001000</v>
      </c>
      <c r="BC24" s="15" t="str">
        <f t="shared" si="30"/>
        <v>00000110</v>
      </c>
      <c r="BD24" s="22">
        <f t="shared" si="41"/>
        <v>6</v>
      </c>
      <c r="BE24" s="15" t="str">
        <f t="shared" si="31"/>
        <v>00110000</v>
      </c>
      <c r="BF24" s="35" t="str">
        <f t="shared" si="32"/>
        <v>01000101</v>
      </c>
      <c r="BG24" s="15"/>
      <c r="BH24" s="15" t="str">
        <f t="shared" si="33"/>
        <v>01100011</v>
      </c>
      <c r="BI24" s="15"/>
      <c r="BJ24" s="15" t="str">
        <f t="shared" si="34"/>
        <v>00000000</v>
      </c>
      <c r="BK24" s="15"/>
      <c r="BL24" s="15" t="str">
        <f t="shared" si="35"/>
        <v>00000000</v>
      </c>
      <c r="BM24" s="15"/>
      <c r="BN24" s="15" t="str">
        <f t="shared" si="36"/>
        <v>00000000</v>
      </c>
      <c r="BO24" s="15"/>
      <c r="BP24" s="15" t="str">
        <f t="shared" si="37"/>
        <v>00000000</v>
      </c>
      <c r="BQ24" s="15" t="str">
        <f t="shared" si="38"/>
        <v>00000000</v>
      </c>
      <c r="BR24" s="15" t="str">
        <f t="shared" si="39"/>
        <v>00000000</v>
      </c>
      <c r="BS24" s="15" t="str">
        <f t="shared" si="40"/>
        <v>10110000</v>
      </c>
    </row>
    <row r="25" spans="1:72" s="16" customFormat="1" x14ac:dyDescent="0.25">
      <c r="A25" s="16" t="s">
        <v>74</v>
      </c>
      <c r="B25" s="17">
        <v>0.69861111111111107</v>
      </c>
      <c r="C25" s="16">
        <v>22</v>
      </c>
      <c r="D25" s="16" t="s">
        <v>1</v>
      </c>
      <c r="E25" t="s">
        <v>91</v>
      </c>
      <c r="F25" t="s">
        <v>102</v>
      </c>
      <c r="G25" t="s">
        <v>88</v>
      </c>
      <c r="H25" s="18" t="str">
        <f t="shared" si="43"/>
        <v>C4</v>
      </c>
      <c r="I25" s="18" t="str">
        <f t="shared" si="43"/>
        <v>D3</v>
      </c>
      <c r="J25" s="18" t="str">
        <f t="shared" si="43"/>
        <v>64</v>
      </c>
      <c r="K25" s="18" t="str">
        <f t="shared" si="43"/>
        <v>80</v>
      </c>
      <c r="L25" s="18" t="str">
        <f t="shared" si="43"/>
        <v>00</v>
      </c>
      <c r="M25" s="19" t="str">
        <f t="shared" si="43"/>
        <v>04</v>
      </c>
      <c r="N25" s="18" t="str">
        <f t="shared" si="43"/>
        <v>10</v>
      </c>
      <c r="O25" s="20" t="str">
        <f t="shared" si="43"/>
        <v>60</v>
      </c>
      <c r="P25" s="18" t="str">
        <f t="shared" si="43"/>
        <v>0C</v>
      </c>
      <c r="Q25" s="18" t="str">
        <f t="shared" si="43"/>
        <v>A2</v>
      </c>
      <c r="R25" s="21" t="str">
        <f t="shared" si="43"/>
        <v>26</v>
      </c>
      <c r="S25" s="18" t="str">
        <f t="shared" si="43"/>
        <v>00</v>
      </c>
      <c r="T25" s="18" t="str">
        <f t="shared" si="43"/>
        <v>00</v>
      </c>
      <c r="U25" s="18" t="str">
        <f t="shared" si="43"/>
        <v>00</v>
      </c>
      <c r="V25" s="18" t="str">
        <f t="shared" si="43"/>
        <v>00</v>
      </c>
      <c r="W25" s="18" t="str">
        <f t="shared" si="43"/>
        <v>00</v>
      </c>
      <c r="X25" s="18" t="str">
        <f t="shared" si="42"/>
        <v>00</v>
      </c>
      <c r="Y25" s="16" t="str">
        <f t="shared" si="42"/>
        <v>38</v>
      </c>
      <c r="AB25" s="16" t="str">
        <f t="shared" si="5"/>
        <v>23</v>
      </c>
      <c r="AC25" s="16" t="str">
        <f t="shared" si="6"/>
        <v>CB</v>
      </c>
      <c r="AD25" s="16" t="str">
        <f t="shared" si="7"/>
        <v>26</v>
      </c>
      <c r="AE25" s="16" t="str">
        <f t="shared" si="8"/>
        <v>01</v>
      </c>
      <c r="AF25" s="16" t="str">
        <f t="shared" si="9"/>
        <v>00</v>
      </c>
      <c r="AG25" s="16" t="str">
        <f t="shared" si="10"/>
        <v>20</v>
      </c>
      <c r="AH25" s="16" t="str">
        <f t="shared" si="11"/>
        <v>08</v>
      </c>
      <c r="AI25" s="16" t="str">
        <f t="shared" si="12"/>
        <v>06</v>
      </c>
      <c r="AJ25" s="16" t="str">
        <f t="shared" si="13"/>
        <v>30</v>
      </c>
      <c r="AK25" s="31" t="str">
        <f t="shared" si="14"/>
        <v>45</v>
      </c>
      <c r="AL25" s="16" t="str">
        <f t="shared" si="15"/>
        <v>64</v>
      </c>
      <c r="AM25" s="16" t="str">
        <f t="shared" si="16"/>
        <v>00</v>
      </c>
      <c r="AN25" s="16" t="str">
        <f t="shared" si="17"/>
        <v>00</v>
      </c>
      <c r="AO25" s="16" t="str">
        <f t="shared" si="18"/>
        <v>00</v>
      </c>
      <c r="AP25" s="16" t="str">
        <f t="shared" si="19"/>
        <v>00</v>
      </c>
      <c r="AQ25" s="16" t="str">
        <f t="shared" si="20"/>
        <v>00</v>
      </c>
      <c r="AR25" s="16" t="str">
        <f t="shared" si="21"/>
        <v>00</v>
      </c>
      <c r="AS25" s="16" t="str">
        <f t="shared" si="22"/>
        <v>1C</v>
      </c>
      <c r="AV25" s="22" t="str">
        <f t="shared" si="23"/>
        <v>00100011</v>
      </c>
      <c r="AW25" s="22" t="str">
        <f t="shared" si="24"/>
        <v>11001011</v>
      </c>
      <c r="AX25" s="22" t="str">
        <f t="shared" si="25"/>
        <v>00100110</v>
      </c>
      <c r="AY25" s="22" t="str">
        <f t="shared" si="26"/>
        <v>00000001</v>
      </c>
      <c r="AZ25" s="22" t="str">
        <f t="shared" si="27"/>
        <v>00000000</v>
      </c>
      <c r="BA25" s="22" t="str">
        <f t="shared" si="28"/>
        <v>00100000</v>
      </c>
      <c r="BB25" s="22" t="str">
        <f t="shared" si="29"/>
        <v>00001000</v>
      </c>
      <c r="BC25" s="22" t="str">
        <f t="shared" si="30"/>
        <v>00000110</v>
      </c>
      <c r="BD25" s="22">
        <f t="shared" si="41"/>
        <v>6</v>
      </c>
      <c r="BE25" s="22" t="str">
        <f t="shared" si="31"/>
        <v>00110000</v>
      </c>
      <c r="BF25" s="31" t="str">
        <f t="shared" si="32"/>
        <v>01000101</v>
      </c>
      <c r="BG25" s="22"/>
      <c r="BH25" s="22" t="str">
        <f t="shared" si="33"/>
        <v>01100100</v>
      </c>
      <c r="BI25" s="22">
        <f>BIN2DEC(BH25)</f>
        <v>100</v>
      </c>
      <c r="BJ25" s="22" t="str">
        <f t="shared" si="34"/>
        <v>00000000</v>
      </c>
      <c r="BK25" s="22"/>
      <c r="BL25" s="22" t="str">
        <f t="shared" si="35"/>
        <v>00000000</v>
      </c>
      <c r="BM25" s="22"/>
      <c r="BN25" s="22" t="str">
        <f t="shared" si="36"/>
        <v>00000000</v>
      </c>
      <c r="BO25" s="22"/>
      <c r="BP25" s="22" t="str">
        <f t="shared" si="37"/>
        <v>00000000</v>
      </c>
      <c r="BQ25" s="22" t="str">
        <f t="shared" si="38"/>
        <v>00000000</v>
      </c>
      <c r="BR25" s="22" t="str">
        <f t="shared" si="39"/>
        <v>00000000</v>
      </c>
      <c r="BS25" s="22" t="str">
        <f t="shared" si="40"/>
        <v>00011100</v>
      </c>
      <c r="BT25" s="16">
        <f>BIN2DEC(BS25)</f>
        <v>28</v>
      </c>
    </row>
    <row r="26" spans="1:72" x14ac:dyDescent="0.25">
      <c r="A26" t="s">
        <v>75</v>
      </c>
      <c r="B26" s="11">
        <v>0.69861111111111107</v>
      </c>
      <c r="C26">
        <v>23</v>
      </c>
      <c r="E26" t="s">
        <v>91</v>
      </c>
      <c r="F26" t="s">
        <v>102</v>
      </c>
      <c r="G26" t="s">
        <v>88</v>
      </c>
      <c r="H26" s="9" t="str">
        <f t="shared" si="43"/>
        <v>C4</v>
      </c>
      <c r="I26" s="9" t="str">
        <f t="shared" si="43"/>
        <v>D3</v>
      </c>
      <c r="J26" s="9" t="str">
        <f t="shared" si="43"/>
        <v>64</v>
      </c>
      <c r="K26" s="9" t="str">
        <f t="shared" si="43"/>
        <v>80</v>
      </c>
      <c r="L26" s="9" t="str">
        <f t="shared" si="43"/>
        <v>00</v>
      </c>
      <c r="M26" s="6" t="str">
        <f t="shared" si="43"/>
        <v>04</v>
      </c>
      <c r="N26" s="9" t="str">
        <f t="shared" si="43"/>
        <v>10</v>
      </c>
      <c r="O26" s="1" t="str">
        <f t="shared" si="43"/>
        <v>E0</v>
      </c>
      <c r="P26" s="9" t="str">
        <f t="shared" si="43"/>
        <v>0C</v>
      </c>
      <c r="Q26" s="9" t="str">
        <f t="shared" si="43"/>
        <v>A2</v>
      </c>
      <c r="R26" s="12" t="str">
        <f t="shared" si="43"/>
        <v>26</v>
      </c>
      <c r="S26" s="9" t="str">
        <f t="shared" si="43"/>
        <v>00</v>
      </c>
      <c r="T26" s="9" t="str">
        <f t="shared" si="43"/>
        <v>00</v>
      </c>
      <c r="U26" s="9" t="str">
        <f t="shared" si="43"/>
        <v>00</v>
      </c>
      <c r="V26" s="9" t="str">
        <f t="shared" si="43"/>
        <v>00</v>
      </c>
      <c r="W26" s="9" t="str">
        <f t="shared" si="43"/>
        <v>00</v>
      </c>
      <c r="X26" s="9" t="str">
        <f t="shared" si="42"/>
        <v>00</v>
      </c>
      <c r="Y26" t="str">
        <f t="shared" si="42"/>
        <v>B8</v>
      </c>
      <c r="AB26" t="str">
        <f t="shared" si="5"/>
        <v>23</v>
      </c>
      <c r="AC26" t="str">
        <f t="shared" si="6"/>
        <v>CB</v>
      </c>
      <c r="AD26" t="str">
        <f t="shared" si="7"/>
        <v>26</v>
      </c>
      <c r="AE26" t="str">
        <f t="shared" si="8"/>
        <v>01</v>
      </c>
      <c r="AF26" t="str">
        <f t="shared" si="9"/>
        <v>00</v>
      </c>
      <c r="AG26" t="str">
        <f t="shared" si="10"/>
        <v>20</v>
      </c>
      <c r="AH26" t="str">
        <f t="shared" si="11"/>
        <v>08</v>
      </c>
      <c r="AI26" t="str">
        <f t="shared" si="12"/>
        <v>07</v>
      </c>
      <c r="AJ26" t="str">
        <f t="shared" si="13"/>
        <v>30</v>
      </c>
      <c r="AK26" s="3" t="str">
        <f t="shared" si="14"/>
        <v>45</v>
      </c>
      <c r="AL26" t="str">
        <f t="shared" si="15"/>
        <v>64</v>
      </c>
      <c r="AM26" t="str">
        <f t="shared" si="16"/>
        <v>00</v>
      </c>
      <c r="AN26" t="str">
        <f t="shared" si="17"/>
        <v>00</v>
      </c>
      <c r="AO26" t="str">
        <f t="shared" si="18"/>
        <v>00</v>
      </c>
      <c r="AP26" t="str">
        <f t="shared" si="19"/>
        <v>00</v>
      </c>
      <c r="AQ26" t="str">
        <f t="shared" si="20"/>
        <v>00</v>
      </c>
      <c r="AR26" t="str">
        <f t="shared" si="21"/>
        <v>00</v>
      </c>
      <c r="AS26" t="str">
        <f t="shared" si="22"/>
        <v>1D</v>
      </c>
      <c r="AV26" s="15" t="str">
        <f t="shared" si="23"/>
        <v>00100011</v>
      </c>
      <c r="AW26" s="15" t="str">
        <f t="shared" si="24"/>
        <v>11001011</v>
      </c>
      <c r="AX26" s="15" t="str">
        <f t="shared" si="25"/>
        <v>00100110</v>
      </c>
      <c r="AY26" s="15" t="str">
        <f t="shared" si="26"/>
        <v>00000001</v>
      </c>
      <c r="AZ26" s="15" t="str">
        <f t="shared" si="27"/>
        <v>00000000</v>
      </c>
      <c r="BA26" s="15" t="str">
        <f t="shared" si="28"/>
        <v>00100000</v>
      </c>
      <c r="BB26" s="15" t="str">
        <f t="shared" si="29"/>
        <v>00001000</v>
      </c>
      <c r="BC26" s="15" t="str">
        <f t="shared" si="30"/>
        <v>00000111</v>
      </c>
      <c r="BD26" s="22">
        <f t="shared" si="41"/>
        <v>7</v>
      </c>
      <c r="BE26" s="15" t="str">
        <f t="shared" si="31"/>
        <v>00110000</v>
      </c>
      <c r="BF26" s="35" t="str">
        <f t="shared" si="32"/>
        <v>01000101</v>
      </c>
      <c r="BG26" s="15"/>
      <c r="BH26" s="15" t="str">
        <f t="shared" si="33"/>
        <v>01100100</v>
      </c>
      <c r="BI26" s="22">
        <f t="shared" ref="BG26:BI48" si="44">BIN2DEC(BH26)</f>
        <v>100</v>
      </c>
      <c r="BJ26" s="15" t="str">
        <f t="shared" si="34"/>
        <v>00000000</v>
      </c>
      <c r="BK26" s="15"/>
      <c r="BL26" s="15" t="str">
        <f t="shared" si="35"/>
        <v>00000000</v>
      </c>
      <c r="BM26" s="15"/>
      <c r="BN26" s="15" t="str">
        <f t="shared" si="36"/>
        <v>00000000</v>
      </c>
      <c r="BO26" s="15"/>
      <c r="BP26" s="15" t="str">
        <f t="shared" si="37"/>
        <v>00000000</v>
      </c>
      <c r="BQ26" s="15" t="str">
        <f t="shared" si="38"/>
        <v>00000000</v>
      </c>
      <c r="BR26" s="15" t="str">
        <f t="shared" si="39"/>
        <v>00000000</v>
      </c>
      <c r="BS26" s="15" t="str">
        <f t="shared" si="40"/>
        <v>00011101</v>
      </c>
    </row>
    <row r="27" spans="1:72" x14ac:dyDescent="0.25">
      <c r="A27" t="s">
        <v>76</v>
      </c>
      <c r="B27" s="11">
        <v>0.69861111111111107</v>
      </c>
      <c r="C27">
        <v>24</v>
      </c>
      <c r="E27" t="s">
        <v>91</v>
      </c>
      <c r="F27" t="s">
        <v>102</v>
      </c>
      <c r="G27" t="s">
        <v>88</v>
      </c>
      <c r="H27" s="9" t="str">
        <f t="shared" si="43"/>
        <v>C4</v>
      </c>
      <c r="I27" s="9" t="str">
        <f t="shared" si="43"/>
        <v>D3</v>
      </c>
      <c r="J27" s="9" t="str">
        <f t="shared" si="43"/>
        <v>64</v>
      </c>
      <c r="K27" s="9" t="str">
        <f t="shared" si="43"/>
        <v>80</v>
      </c>
      <c r="L27" s="9" t="str">
        <f t="shared" si="43"/>
        <v>00</v>
      </c>
      <c r="M27" s="6" t="str">
        <f t="shared" si="43"/>
        <v>04</v>
      </c>
      <c r="N27" s="9" t="str">
        <f t="shared" si="43"/>
        <v>10</v>
      </c>
      <c r="O27" s="1" t="str">
        <f t="shared" si="43"/>
        <v>10</v>
      </c>
      <c r="P27" s="9" t="str">
        <f t="shared" si="43"/>
        <v>0C</v>
      </c>
      <c r="Q27" s="9" t="str">
        <f t="shared" si="43"/>
        <v>A2</v>
      </c>
      <c r="R27" s="12" t="str">
        <f t="shared" si="43"/>
        <v>26</v>
      </c>
      <c r="S27" s="9" t="str">
        <f t="shared" si="43"/>
        <v>00</v>
      </c>
      <c r="T27" s="9" t="str">
        <f t="shared" si="43"/>
        <v>00</v>
      </c>
      <c r="U27" s="9" t="str">
        <f t="shared" si="43"/>
        <v>00</v>
      </c>
      <c r="V27" s="9" t="str">
        <f t="shared" si="43"/>
        <v>00</v>
      </c>
      <c r="W27" s="9" t="str">
        <f t="shared" si="43"/>
        <v>00</v>
      </c>
      <c r="X27" s="9" t="str">
        <f t="shared" si="42"/>
        <v>00</v>
      </c>
      <c r="Y27" t="str">
        <f t="shared" si="42"/>
        <v>78</v>
      </c>
      <c r="AB27" t="str">
        <f t="shared" si="5"/>
        <v>23</v>
      </c>
      <c r="AC27" t="str">
        <f t="shared" si="6"/>
        <v>CB</v>
      </c>
      <c r="AD27" t="str">
        <f t="shared" si="7"/>
        <v>26</v>
      </c>
      <c r="AE27" t="str">
        <f t="shared" si="8"/>
        <v>01</v>
      </c>
      <c r="AF27" t="str">
        <f t="shared" si="9"/>
        <v>00</v>
      </c>
      <c r="AG27" t="str">
        <f t="shared" si="10"/>
        <v>20</v>
      </c>
      <c r="AH27" t="str">
        <f t="shared" si="11"/>
        <v>08</v>
      </c>
      <c r="AI27" t="str">
        <f t="shared" si="12"/>
        <v>08</v>
      </c>
      <c r="AJ27" t="str">
        <f t="shared" si="13"/>
        <v>30</v>
      </c>
      <c r="AK27" s="3" t="str">
        <f t="shared" si="14"/>
        <v>45</v>
      </c>
      <c r="AL27" t="str">
        <f t="shared" si="15"/>
        <v>64</v>
      </c>
      <c r="AM27" t="str">
        <f t="shared" si="16"/>
        <v>00</v>
      </c>
      <c r="AN27" t="str">
        <f t="shared" si="17"/>
        <v>00</v>
      </c>
      <c r="AO27" t="str">
        <f t="shared" si="18"/>
        <v>00</v>
      </c>
      <c r="AP27" t="str">
        <f t="shared" si="19"/>
        <v>00</v>
      </c>
      <c r="AQ27" t="str">
        <f t="shared" si="20"/>
        <v>00</v>
      </c>
      <c r="AR27" t="str">
        <f t="shared" si="21"/>
        <v>00</v>
      </c>
      <c r="AS27" t="str">
        <f t="shared" si="22"/>
        <v>1E</v>
      </c>
      <c r="AV27" s="15" t="str">
        <f t="shared" si="23"/>
        <v>00100011</v>
      </c>
      <c r="AW27" s="15" t="str">
        <f t="shared" si="24"/>
        <v>11001011</v>
      </c>
      <c r="AX27" s="15" t="str">
        <f t="shared" si="25"/>
        <v>00100110</v>
      </c>
      <c r="AY27" s="15" t="str">
        <f t="shared" si="26"/>
        <v>00000001</v>
      </c>
      <c r="AZ27" s="15" t="str">
        <f t="shared" si="27"/>
        <v>00000000</v>
      </c>
      <c r="BA27" s="15" t="str">
        <f t="shared" si="28"/>
        <v>00100000</v>
      </c>
      <c r="BB27" s="15" t="str">
        <f t="shared" si="29"/>
        <v>00001000</v>
      </c>
      <c r="BC27" s="15" t="str">
        <f t="shared" si="30"/>
        <v>00001000</v>
      </c>
      <c r="BD27" s="22">
        <f t="shared" si="41"/>
        <v>8</v>
      </c>
      <c r="BE27" s="15" t="str">
        <f t="shared" si="31"/>
        <v>00110000</v>
      </c>
      <c r="BF27" s="35" t="str">
        <f t="shared" si="32"/>
        <v>01000101</v>
      </c>
      <c r="BG27" s="15"/>
      <c r="BH27" s="15" t="str">
        <f t="shared" si="33"/>
        <v>01100100</v>
      </c>
      <c r="BI27" s="22">
        <f t="shared" si="44"/>
        <v>100</v>
      </c>
      <c r="BJ27" s="15" t="str">
        <f t="shared" si="34"/>
        <v>00000000</v>
      </c>
      <c r="BK27" s="15"/>
      <c r="BL27" s="15" t="str">
        <f t="shared" si="35"/>
        <v>00000000</v>
      </c>
      <c r="BM27" s="15"/>
      <c r="BN27" s="15" t="str">
        <f t="shared" si="36"/>
        <v>00000000</v>
      </c>
      <c r="BO27" s="15"/>
      <c r="BP27" s="15" t="str">
        <f t="shared" si="37"/>
        <v>00000000</v>
      </c>
      <c r="BQ27" s="15" t="str">
        <f t="shared" si="38"/>
        <v>00000000</v>
      </c>
      <c r="BR27" s="15" t="str">
        <f t="shared" si="39"/>
        <v>00000000</v>
      </c>
      <c r="BS27" s="15" t="str">
        <f t="shared" si="40"/>
        <v>00011110</v>
      </c>
    </row>
    <row r="28" spans="1:72" x14ac:dyDescent="0.25">
      <c r="A28" t="s">
        <v>77</v>
      </c>
      <c r="B28" s="11">
        <v>0.69861111111111107</v>
      </c>
      <c r="C28">
        <v>25</v>
      </c>
      <c r="E28" t="s">
        <v>91</v>
      </c>
      <c r="F28" t="s">
        <v>102</v>
      </c>
      <c r="G28" t="s">
        <v>88</v>
      </c>
      <c r="H28" s="9" t="str">
        <f t="shared" si="43"/>
        <v>C4</v>
      </c>
      <c r="I28" s="9" t="str">
        <f t="shared" si="43"/>
        <v>D3</v>
      </c>
      <c r="J28" s="9" t="str">
        <f t="shared" si="43"/>
        <v>64</v>
      </c>
      <c r="K28" s="9" t="str">
        <f t="shared" si="43"/>
        <v>80</v>
      </c>
      <c r="L28" s="9" t="str">
        <f t="shared" si="43"/>
        <v>00</v>
      </c>
      <c r="M28" s="6" t="str">
        <f t="shared" si="43"/>
        <v>04</v>
      </c>
      <c r="N28" s="9" t="str">
        <f t="shared" si="43"/>
        <v>10</v>
      </c>
      <c r="O28" s="1" t="str">
        <f t="shared" si="43"/>
        <v>90</v>
      </c>
      <c r="P28" s="9" t="str">
        <f t="shared" si="43"/>
        <v>0C</v>
      </c>
      <c r="Q28" s="9" t="str">
        <f t="shared" si="43"/>
        <v>A2</v>
      </c>
      <c r="R28" s="12" t="str">
        <f t="shared" si="43"/>
        <v>26</v>
      </c>
      <c r="S28" s="9" t="str">
        <f t="shared" si="43"/>
        <v>00</v>
      </c>
      <c r="T28" s="9" t="str">
        <f t="shared" si="43"/>
        <v>00</v>
      </c>
      <c r="U28" s="9" t="str">
        <f t="shared" si="43"/>
        <v>00</v>
      </c>
      <c r="V28" s="9" t="str">
        <f t="shared" si="43"/>
        <v>00</v>
      </c>
      <c r="W28" s="9" t="str">
        <f t="shared" si="43"/>
        <v>00</v>
      </c>
      <c r="X28" s="9" t="str">
        <f t="shared" si="42"/>
        <v>00</v>
      </c>
      <c r="Y28" t="str">
        <f t="shared" si="42"/>
        <v>F8</v>
      </c>
      <c r="AB28" t="str">
        <f t="shared" si="5"/>
        <v>23</v>
      </c>
      <c r="AC28" t="str">
        <f t="shared" si="6"/>
        <v>CB</v>
      </c>
      <c r="AD28" t="str">
        <f t="shared" si="7"/>
        <v>26</v>
      </c>
      <c r="AE28" t="str">
        <f t="shared" si="8"/>
        <v>01</v>
      </c>
      <c r="AF28" t="str">
        <f t="shared" si="9"/>
        <v>00</v>
      </c>
      <c r="AG28" t="str">
        <f t="shared" si="10"/>
        <v>20</v>
      </c>
      <c r="AH28" t="str">
        <f t="shared" si="11"/>
        <v>08</v>
      </c>
      <c r="AI28" t="str">
        <f t="shared" si="12"/>
        <v>09</v>
      </c>
      <c r="AJ28" t="str">
        <f t="shared" si="13"/>
        <v>30</v>
      </c>
      <c r="AK28" s="3" t="str">
        <f t="shared" si="14"/>
        <v>45</v>
      </c>
      <c r="AL28" t="str">
        <f t="shared" si="15"/>
        <v>64</v>
      </c>
      <c r="AM28" t="str">
        <f t="shared" si="16"/>
        <v>00</v>
      </c>
      <c r="AN28" t="str">
        <f t="shared" si="17"/>
        <v>00</v>
      </c>
      <c r="AO28" t="str">
        <f t="shared" si="18"/>
        <v>00</v>
      </c>
      <c r="AP28" t="str">
        <f t="shared" si="19"/>
        <v>00</v>
      </c>
      <c r="AQ28" t="str">
        <f t="shared" si="20"/>
        <v>00</v>
      </c>
      <c r="AR28" t="str">
        <f t="shared" si="21"/>
        <v>00</v>
      </c>
      <c r="AS28" t="str">
        <f t="shared" si="22"/>
        <v>1F</v>
      </c>
      <c r="AV28" s="15" t="str">
        <f t="shared" si="23"/>
        <v>00100011</v>
      </c>
      <c r="AW28" s="15" t="str">
        <f t="shared" si="24"/>
        <v>11001011</v>
      </c>
      <c r="AX28" s="15" t="str">
        <f t="shared" si="25"/>
        <v>00100110</v>
      </c>
      <c r="AY28" s="15" t="str">
        <f t="shared" si="26"/>
        <v>00000001</v>
      </c>
      <c r="AZ28" s="15" t="str">
        <f t="shared" si="27"/>
        <v>00000000</v>
      </c>
      <c r="BA28" s="15" t="str">
        <f t="shared" si="28"/>
        <v>00100000</v>
      </c>
      <c r="BB28" s="15" t="str">
        <f t="shared" si="29"/>
        <v>00001000</v>
      </c>
      <c r="BC28" s="15" t="str">
        <f t="shared" si="30"/>
        <v>00001001</v>
      </c>
      <c r="BD28" s="22">
        <f t="shared" si="41"/>
        <v>9</v>
      </c>
      <c r="BE28" s="15" t="str">
        <f t="shared" si="31"/>
        <v>00110000</v>
      </c>
      <c r="BF28" s="35" t="str">
        <f t="shared" si="32"/>
        <v>01000101</v>
      </c>
      <c r="BG28" s="15"/>
      <c r="BH28" s="15" t="str">
        <f t="shared" si="33"/>
        <v>01100100</v>
      </c>
      <c r="BI28" s="22">
        <f t="shared" si="44"/>
        <v>100</v>
      </c>
      <c r="BJ28" s="15" t="str">
        <f t="shared" si="34"/>
        <v>00000000</v>
      </c>
      <c r="BK28" s="15"/>
      <c r="BL28" s="15" t="str">
        <f t="shared" si="35"/>
        <v>00000000</v>
      </c>
      <c r="BM28" s="15"/>
      <c r="BN28" s="15" t="str">
        <f t="shared" si="36"/>
        <v>00000000</v>
      </c>
      <c r="BO28" s="15"/>
      <c r="BP28" s="15" t="str">
        <f t="shared" si="37"/>
        <v>00000000</v>
      </c>
      <c r="BQ28" s="15" t="str">
        <f t="shared" si="38"/>
        <v>00000000</v>
      </c>
      <c r="BR28" s="15" t="str">
        <f t="shared" si="39"/>
        <v>00000000</v>
      </c>
      <c r="BS28" s="15" t="str">
        <f t="shared" si="40"/>
        <v>00011111</v>
      </c>
    </row>
    <row r="29" spans="1:72" x14ac:dyDescent="0.25">
      <c r="A29" t="s">
        <v>78</v>
      </c>
      <c r="B29" s="11">
        <v>0.69861111111111107</v>
      </c>
      <c r="C29">
        <v>26</v>
      </c>
      <c r="E29" t="s">
        <v>91</v>
      </c>
      <c r="F29" t="s">
        <v>102</v>
      </c>
      <c r="G29" t="s">
        <v>88</v>
      </c>
      <c r="H29" s="9" t="str">
        <f t="shared" si="43"/>
        <v>C4</v>
      </c>
      <c r="I29" s="9" t="str">
        <f t="shared" si="43"/>
        <v>D3</v>
      </c>
      <c r="J29" s="9" t="str">
        <f t="shared" si="43"/>
        <v>64</v>
      </c>
      <c r="K29" s="9" t="str">
        <f t="shared" si="43"/>
        <v>80</v>
      </c>
      <c r="L29" s="9" t="str">
        <f t="shared" si="43"/>
        <v>00</v>
      </c>
      <c r="M29" s="6" t="str">
        <f t="shared" si="43"/>
        <v>04</v>
      </c>
      <c r="N29" s="9" t="str">
        <f t="shared" si="43"/>
        <v>10</v>
      </c>
      <c r="O29" s="1" t="str">
        <f t="shared" si="43"/>
        <v>50</v>
      </c>
      <c r="P29" s="9" t="str">
        <f t="shared" si="43"/>
        <v>0C</v>
      </c>
      <c r="Q29" s="9" t="str">
        <f t="shared" si="43"/>
        <v>A2</v>
      </c>
      <c r="R29" s="12" t="str">
        <f t="shared" si="43"/>
        <v>26</v>
      </c>
      <c r="S29" s="9" t="str">
        <f t="shared" si="43"/>
        <v>00</v>
      </c>
      <c r="T29" s="9" t="str">
        <f t="shared" si="43"/>
        <v>00</v>
      </c>
      <c r="U29" s="9" t="str">
        <f t="shared" si="43"/>
        <v>00</v>
      </c>
      <c r="V29" s="9" t="str">
        <f t="shared" si="43"/>
        <v>00</v>
      </c>
      <c r="W29" s="9" t="str">
        <f t="shared" si="43"/>
        <v>00</v>
      </c>
      <c r="X29" s="9" t="str">
        <f t="shared" si="42"/>
        <v>00</v>
      </c>
      <c r="Y29" t="str">
        <f t="shared" si="42"/>
        <v>04</v>
      </c>
      <c r="AB29" t="str">
        <f t="shared" si="5"/>
        <v>23</v>
      </c>
      <c r="AC29" t="str">
        <f t="shared" si="6"/>
        <v>CB</v>
      </c>
      <c r="AD29" t="str">
        <f t="shared" si="7"/>
        <v>26</v>
      </c>
      <c r="AE29" t="str">
        <f t="shared" si="8"/>
        <v>01</v>
      </c>
      <c r="AF29" t="str">
        <f t="shared" si="9"/>
        <v>00</v>
      </c>
      <c r="AG29" t="str">
        <f t="shared" si="10"/>
        <v>20</v>
      </c>
      <c r="AH29" t="str">
        <f t="shared" si="11"/>
        <v>08</v>
      </c>
      <c r="AI29" t="str">
        <f t="shared" si="12"/>
        <v>0A</v>
      </c>
      <c r="AJ29" t="str">
        <f t="shared" si="13"/>
        <v>30</v>
      </c>
      <c r="AK29" s="3" t="str">
        <f t="shared" si="14"/>
        <v>45</v>
      </c>
      <c r="AL29" t="str">
        <f t="shared" si="15"/>
        <v>64</v>
      </c>
      <c r="AM29" t="str">
        <f t="shared" si="16"/>
        <v>00</v>
      </c>
      <c r="AN29" t="str">
        <f t="shared" si="17"/>
        <v>00</v>
      </c>
      <c r="AO29" t="str">
        <f t="shared" si="18"/>
        <v>00</v>
      </c>
      <c r="AP29" t="str">
        <f t="shared" si="19"/>
        <v>00</v>
      </c>
      <c r="AQ29" t="str">
        <f t="shared" si="20"/>
        <v>00</v>
      </c>
      <c r="AR29" t="str">
        <f t="shared" si="21"/>
        <v>00</v>
      </c>
      <c r="AS29" t="str">
        <f t="shared" si="22"/>
        <v>20</v>
      </c>
      <c r="AV29" s="15" t="str">
        <f t="shared" si="23"/>
        <v>00100011</v>
      </c>
      <c r="AW29" s="15" t="str">
        <f t="shared" si="24"/>
        <v>11001011</v>
      </c>
      <c r="AX29" s="15" t="str">
        <f t="shared" si="25"/>
        <v>00100110</v>
      </c>
      <c r="AY29" s="15" t="str">
        <f t="shared" si="26"/>
        <v>00000001</v>
      </c>
      <c r="AZ29" s="15" t="str">
        <f t="shared" si="27"/>
        <v>00000000</v>
      </c>
      <c r="BA29" s="15" t="str">
        <f t="shared" si="28"/>
        <v>00100000</v>
      </c>
      <c r="BB29" s="15" t="str">
        <f t="shared" si="29"/>
        <v>00001000</v>
      </c>
      <c r="BC29" s="15" t="str">
        <f t="shared" si="30"/>
        <v>00001010</v>
      </c>
      <c r="BD29" s="22">
        <f t="shared" si="41"/>
        <v>10</v>
      </c>
      <c r="BE29" s="15" t="str">
        <f t="shared" si="31"/>
        <v>00110000</v>
      </c>
      <c r="BF29" s="35" t="str">
        <f t="shared" si="32"/>
        <v>01000101</v>
      </c>
      <c r="BG29" s="15"/>
      <c r="BH29" s="15" t="str">
        <f t="shared" si="33"/>
        <v>01100100</v>
      </c>
      <c r="BI29" s="22">
        <f t="shared" si="44"/>
        <v>100</v>
      </c>
      <c r="BJ29" s="15" t="str">
        <f t="shared" si="34"/>
        <v>00000000</v>
      </c>
      <c r="BK29" s="15"/>
      <c r="BL29" s="15" t="str">
        <f t="shared" si="35"/>
        <v>00000000</v>
      </c>
      <c r="BM29" s="15"/>
      <c r="BN29" s="15" t="str">
        <f t="shared" si="36"/>
        <v>00000000</v>
      </c>
      <c r="BO29" s="15"/>
      <c r="BP29" s="15" t="str">
        <f t="shared" si="37"/>
        <v>00000000</v>
      </c>
      <c r="BQ29" s="15" t="str">
        <f t="shared" si="38"/>
        <v>00000000</v>
      </c>
      <c r="BR29" s="15" t="str">
        <f t="shared" si="39"/>
        <v>00000000</v>
      </c>
      <c r="BS29" s="15" t="str">
        <f t="shared" si="40"/>
        <v>00100000</v>
      </c>
    </row>
    <row r="30" spans="1:72" x14ac:dyDescent="0.25">
      <c r="A30" t="s">
        <v>79</v>
      </c>
      <c r="B30" s="11">
        <v>0.69861111111111107</v>
      </c>
      <c r="C30">
        <v>27</v>
      </c>
      <c r="E30" t="s">
        <v>91</v>
      </c>
      <c r="F30" t="s">
        <v>102</v>
      </c>
      <c r="G30" t="s">
        <v>88</v>
      </c>
      <c r="H30" s="9" t="str">
        <f t="shared" si="43"/>
        <v>C4</v>
      </c>
      <c r="I30" s="9" t="str">
        <f t="shared" si="43"/>
        <v>D3</v>
      </c>
      <c r="J30" s="9" t="str">
        <f t="shared" si="43"/>
        <v>64</v>
      </c>
      <c r="K30" s="9" t="str">
        <f t="shared" si="43"/>
        <v>80</v>
      </c>
      <c r="L30" s="9" t="str">
        <f t="shared" si="43"/>
        <v>00</v>
      </c>
      <c r="M30" s="6" t="str">
        <f t="shared" si="43"/>
        <v>04</v>
      </c>
      <c r="N30" s="9" t="str">
        <f t="shared" si="43"/>
        <v>10</v>
      </c>
      <c r="O30" s="1" t="str">
        <f t="shared" si="43"/>
        <v>D0</v>
      </c>
      <c r="P30" s="9" t="str">
        <f t="shared" si="43"/>
        <v>0C</v>
      </c>
      <c r="Q30" s="9" t="str">
        <f t="shared" si="43"/>
        <v>A2</v>
      </c>
      <c r="R30" s="12" t="str">
        <f t="shared" si="43"/>
        <v>26</v>
      </c>
      <c r="S30" s="9" t="str">
        <f t="shared" si="43"/>
        <v>00</v>
      </c>
      <c r="T30" s="9" t="str">
        <f t="shared" si="43"/>
        <v>00</v>
      </c>
      <c r="U30" s="9" t="str">
        <f t="shared" si="43"/>
        <v>00</v>
      </c>
      <c r="V30" s="9" t="str">
        <f t="shared" si="43"/>
        <v>00</v>
      </c>
      <c r="W30" s="9" t="str">
        <f t="shared" si="43"/>
        <v>00</v>
      </c>
      <c r="X30" s="9" t="str">
        <f t="shared" si="42"/>
        <v>00</v>
      </c>
      <c r="Y30" t="str">
        <f t="shared" si="42"/>
        <v>84</v>
      </c>
      <c r="AB30" t="str">
        <f t="shared" si="5"/>
        <v>23</v>
      </c>
      <c r="AC30" t="str">
        <f t="shared" si="6"/>
        <v>CB</v>
      </c>
      <c r="AD30" t="str">
        <f t="shared" si="7"/>
        <v>26</v>
      </c>
      <c r="AE30" t="str">
        <f t="shared" si="8"/>
        <v>01</v>
      </c>
      <c r="AF30" t="str">
        <f t="shared" si="9"/>
        <v>00</v>
      </c>
      <c r="AG30" t="str">
        <f t="shared" si="10"/>
        <v>20</v>
      </c>
      <c r="AH30" t="str">
        <f t="shared" si="11"/>
        <v>08</v>
      </c>
      <c r="AI30" t="str">
        <f t="shared" si="12"/>
        <v>0B</v>
      </c>
      <c r="AJ30" t="str">
        <f t="shared" si="13"/>
        <v>30</v>
      </c>
      <c r="AK30" s="3" t="str">
        <f t="shared" si="14"/>
        <v>45</v>
      </c>
      <c r="AL30" t="str">
        <f t="shared" si="15"/>
        <v>64</v>
      </c>
      <c r="AM30" t="str">
        <f t="shared" si="16"/>
        <v>00</v>
      </c>
      <c r="AN30" t="str">
        <f t="shared" si="17"/>
        <v>00</v>
      </c>
      <c r="AO30" t="str">
        <f t="shared" si="18"/>
        <v>00</v>
      </c>
      <c r="AP30" t="str">
        <f t="shared" si="19"/>
        <v>00</v>
      </c>
      <c r="AQ30" t="str">
        <f t="shared" si="20"/>
        <v>00</v>
      </c>
      <c r="AR30" t="str">
        <f t="shared" si="21"/>
        <v>00</v>
      </c>
      <c r="AS30" t="str">
        <f t="shared" si="22"/>
        <v>21</v>
      </c>
      <c r="AV30" s="15" t="str">
        <f t="shared" si="23"/>
        <v>00100011</v>
      </c>
      <c r="AW30" s="15" t="str">
        <f t="shared" si="24"/>
        <v>11001011</v>
      </c>
      <c r="AX30" s="15" t="str">
        <f t="shared" si="25"/>
        <v>00100110</v>
      </c>
      <c r="AY30" s="15" t="str">
        <f t="shared" si="26"/>
        <v>00000001</v>
      </c>
      <c r="AZ30" s="15" t="str">
        <f t="shared" si="27"/>
        <v>00000000</v>
      </c>
      <c r="BA30" s="15" t="str">
        <f t="shared" si="28"/>
        <v>00100000</v>
      </c>
      <c r="BB30" s="15" t="str">
        <f t="shared" si="29"/>
        <v>00001000</v>
      </c>
      <c r="BC30" s="15" t="str">
        <f t="shared" si="30"/>
        <v>00001011</v>
      </c>
      <c r="BD30" s="22">
        <f t="shared" si="41"/>
        <v>11</v>
      </c>
      <c r="BE30" s="15" t="str">
        <f t="shared" si="31"/>
        <v>00110000</v>
      </c>
      <c r="BF30" s="35" t="str">
        <f t="shared" si="32"/>
        <v>01000101</v>
      </c>
      <c r="BG30" s="15"/>
      <c r="BH30" s="15" t="str">
        <f t="shared" si="33"/>
        <v>01100100</v>
      </c>
      <c r="BI30" s="22">
        <f t="shared" si="44"/>
        <v>100</v>
      </c>
      <c r="BJ30" s="15" t="str">
        <f t="shared" si="34"/>
        <v>00000000</v>
      </c>
      <c r="BK30" s="15"/>
      <c r="BL30" s="15" t="str">
        <f t="shared" si="35"/>
        <v>00000000</v>
      </c>
      <c r="BM30" s="15"/>
      <c r="BN30" s="15" t="str">
        <f t="shared" si="36"/>
        <v>00000000</v>
      </c>
      <c r="BO30" s="15"/>
      <c r="BP30" s="15" t="str">
        <f t="shared" si="37"/>
        <v>00000000</v>
      </c>
      <c r="BQ30" s="15" t="str">
        <f t="shared" si="38"/>
        <v>00000000</v>
      </c>
      <c r="BR30" s="15" t="str">
        <f t="shared" si="39"/>
        <v>00000000</v>
      </c>
      <c r="BS30" s="15" t="str">
        <f t="shared" si="40"/>
        <v>00100001</v>
      </c>
    </row>
    <row r="31" spans="1:72" x14ac:dyDescent="0.25">
      <c r="A31" t="s">
        <v>80</v>
      </c>
      <c r="B31" s="11">
        <v>0.69861111111111107</v>
      </c>
      <c r="C31">
        <v>28</v>
      </c>
      <c r="E31" t="s">
        <v>91</v>
      </c>
      <c r="F31" t="s">
        <v>102</v>
      </c>
      <c r="G31" t="s">
        <v>88</v>
      </c>
      <c r="H31" s="9" t="str">
        <f t="shared" si="43"/>
        <v>C4</v>
      </c>
      <c r="I31" s="9" t="str">
        <f t="shared" si="43"/>
        <v>D3</v>
      </c>
      <c r="J31" s="9" t="str">
        <f t="shared" si="43"/>
        <v>64</v>
      </c>
      <c r="K31" s="9" t="str">
        <f t="shared" si="43"/>
        <v>80</v>
      </c>
      <c r="L31" s="9" t="str">
        <f t="shared" si="43"/>
        <v>00</v>
      </c>
      <c r="M31" s="6" t="str">
        <f t="shared" si="43"/>
        <v>04</v>
      </c>
      <c r="N31" s="9" t="str">
        <f t="shared" si="43"/>
        <v>10</v>
      </c>
      <c r="O31" s="1" t="str">
        <f t="shared" si="43"/>
        <v>30</v>
      </c>
      <c r="P31" s="9" t="str">
        <f t="shared" si="43"/>
        <v>0C</v>
      </c>
      <c r="Q31" s="9" t="str">
        <f t="shared" si="43"/>
        <v>A2</v>
      </c>
      <c r="R31" s="12" t="str">
        <f t="shared" si="43"/>
        <v>26</v>
      </c>
      <c r="S31" s="9" t="str">
        <f t="shared" si="43"/>
        <v>00</v>
      </c>
      <c r="T31" s="9" t="str">
        <f t="shared" si="43"/>
        <v>00</v>
      </c>
      <c r="U31" s="9" t="str">
        <f t="shared" si="43"/>
        <v>00</v>
      </c>
      <c r="V31" s="9" t="str">
        <f t="shared" si="43"/>
        <v>00</v>
      </c>
      <c r="W31" s="9" t="str">
        <f t="shared" si="43"/>
        <v>00</v>
      </c>
      <c r="X31" s="9" t="str">
        <f t="shared" si="42"/>
        <v>00</v>
      </c>
      <c r="Y31" t="str">
        <f t="shared" si="42"/>
        <v>44</v>
      </c>
      <c r="AB31" t="str">
        <f t="shared" si="5"/>
        <v>23</v>
      </c>
      <c r="AC31" t="str">
        <f t="shared" si="6"/>
        <v>CB</v>
      </c>
      <c r="AD31" t="str">
        <f t="shared" si="7"/>
        <v>26</v>
      </c>
      <c r="AE31" t="str">
        <f t="shared" si="8"/>
        <v>01</v>
      </c>
      <c r="AF31" t="str">
        <f t="shared" si="9"/>
        <v>00</v>
      </c>
      <c r="AG31" t="str">
        <f t="shared" si="10"/>
        <v>20</v>
      </c>
      <c r="AH31" t="str">
        <f t="shared" si="11"/>
        <v>08</v>
      </c>
      <c r="AI31" t="str">
        <f t="shared" si="12"/>
        <v>0C</v>
      </c>
      <c r="AJ31" t="str">
        <f t="shared" si="13"/>
        <v>30</v>
      </c>
      <c r="AK31" s="3" t="str">
        <f t="shared" si="14"/>
        <v>45</v>
      </c>
      <c r="AL31" t="str">
        <f t="shared" si="15"/>
        <v>64</v>
      </c>
      <c r="AM31" t="str">
        <f t="shared" si="16"/>
        <v>00</v>
      </c>
      <c r="AN31" t="str">
        <f t="shared" si="17"/>
        <v>00</v>
      </c>
      <c r="AO31" t="str">
        <f t="shared" si="18"/>
        <v>00</v>
      </c>
      <c r="AP31" t="str">
        <f t="shared" si="19"/>
        <v>00</v>
      </c>
      <c r="AQ31" t="str">
        <f t="shared" si="20"/>
        <v>00</v>
      </c>
      <c r="AR31" t="str">
        <f t="shared" si="21"/>
        <v>00</v>
      </c>
      <c r="AS31" t="str">
        <f t="shared" si="22"/>
        <v>22</v>
      </c>
      <c r="AV31" s="15" t="str">
        <f t="shared" si="23"/>
        <v>00100011</v>
      </c>
      <c r="AW31" s="15" t="str">
        <f t="shared" si="24"/>
        <v>11001011</v>
      </c>
      <c r="AX31" s="15" t="str">
        <f t="shared" si="25"/>
        <v>00100110</v>
      </c>
      <c r="AY31" s="15" t="str">
        <f t="shared" si="26"/>
        <v>00000001</v>
      </c>
      <c r="AZ31" s="15" t="str">
        <f t="shared" si="27"/>
        <v>00000000</v>
      </c>
      <c r="BA31" s="15" t="str">
        <f t="shared" si="28"/>
        <v>00100000</v>
      </c>
      <c r="BB31" s="15" t="str">
        <f t="shared" si="29"/>
        <v>00001000</v>
      </c>
      <c r="BC31" s="15" t="str">
        <f t="shared" si="30"/>
        <v>00001100</v>
      </c>
      <c r="BD31" s="22">
        <f t="shared" si="41"/>
        <v>12</v>
      </c>
      <c r="BE31" s="15" t="str">
        <f t="shared" si="31"/>
        <v>00110000</v>
      </c>
      <c r="BF31" s="35" t="str">
        <f t="shared" si="32"/>
        <v>01000101</v>
      </c>
      <c r="BG31" s="15"/>
      <c r="BH31" s="15" t="str">
        <f t="shared" si="33"/>
        <v>01100100</v>
      </c>
      <c r="BI31" s="22">
        <f t="shared" si="44"/>
        <v>100</v>
      </c>
      <c r="BJ31" s="15" t="str">
        <f t="shared" si="34"/>
        <v>00000000</v>
      </c>
      <c r="BK31" s="15"/>
      <c r="BL31" s="15" t="str">
        <f t="shared" si="35"/>
        <v>00000000</v>
      </c>
      <c r="BM31" s="15"/>
      <c r="BN31" s="15" t="str">
        <f t="shared" si="36"/>
        <v>00000000</v>
      </c>
      <c r="BO31" s="15"/>
      <c r="BP31" s="15" t="str">
        <f t="shared" si="37"/>
        <v>00000000</v>
      </c>
      <c r="BQ31" s="15" t="str">
        <f t="shared" si="38"/>
        <v>00000000</v>
      </c>
      <c r="BR31" s="15" t="str">
        <f t="shared" si="39"/>
        <v>00000000</v>
      </c>
      <c r="BS31" s="15" t="str">
        <f t="shared" si="40"/>
        <v>00100010</v>
      </c>
    </row>
    <row r="32" spans="1:72" x14ac:dyDescent="0.25">
      <c r="A32" t="s">
        <v>81</v>
      </c>
      <c r="B32" s="11">
        <v>0.69861111111111107</v>
      </c>
      <c r="C32">
        <v>29</v>
      </c>
      <c r="E32" t="s">
        <v>91</v>
      </c>
      <c r="F32" t="s">
        <v>102</v>
      </c>
      <c r="G32" t="s">
        <v>88</v>
      </c>
      <c r="H32" s="9" t="str">
        <f t="shared" si="43"/>
        <v>C4</v>
      </c>
      <c r="I32" s="9" t="str">
        <f t="shared" si="43"/>
        <v>D3</v>
      </c>
      <c r="J32" s="9" t="str">
        <f t="shared" si="43"/>
        <v>64</v>
      </c>
      <c r="K32" s="9" t="str">
        <f t="shared" si="43"/>
        <v>80</v>
      </c>
      <c r="L32" s="9" t="str">
        <f t="shared" si="43"/>
        <v>00</v>
      </c>
      <c r="M32" s="6" t="str">
        <f t="shared" si="43"/>
        <v>04</v>
      </c>
      <c r="N32" s="9" t="str">
        <f t="shared" si="43"/>
        <v>10</v>
      </c>
      <c r="O32" s="1" t="str">
        <f t="shared" si="43"/>
        <v>B0</v>
      </c>
      <c r="P32" s="9" t="str">
        <f t="shared" si="43"/>
        <v>0C</v>
      </c>
      <c r="Q32" s="9" t="str">
        <f t="shared" si="43"/>
        <v>A2</v>
      </c>
      <c r="R32" s="12" t="str">
        <f t="shared" si="43"/>
        <v>26</v>
      </c>
      <c r="S32" s="9" t="str">
        <f t="shared" si="43"/>
        <v>00</v>
      </c>
      <c r="T32" s="9" t="str">
        <f t="shared" si="43"/>
        <v>00</v>
      </c>
      <c r="U32" s="9" t="str">
        <f t="shared" si="43"/>
        <v>00</v>
      </c>
      <c r="V32" s="9" t="str">
        <f t="shared" si="43"/>
        <v>00</v>
      </c>
      <c r="W32" s="9" t="str">
        <f t="shared" si="43"/>
        <v>00</v>
      </c>
      <c r="X32" s="9" t="str">
        <f t="shared" si="42"/>
        <v>00</v>
      </c>
      <c r="Y32" t="str">
        <f t="shared" si="42"/>
        <v>C4</v>
      </c>
      <c r="AB32" t="str">
        <f t="shared" si="5"/>
        <v>23</v>
      </c>
      <c r="AC32" t="str">
        <f t="shared" si="6"/>
        <v>CB</v>
      </c>
      <c r="AD32" t="str">
        <f t="shared" si="7"/>
        <v>26</v>
      </c>
      <c r="AE32" t="str">
        <f t="shared" si="8"/>
        <v>01</v>
      </c>
      <c r="AF32" t="str">
        <f t="shared" si="9"/>
        <v>00</v>
      </c>
      <c r="AG32" t="str">
        <f t="shared" si="10"/>
        <v>20</v>
      </c>
      <c r="AH32" t="str">
        <f t="shared" si="11"/>
        <v>08</v>
      </c>
      <c r="AI32" t="str">
        <f t="shared" si="12"/>
        <v>0D</v>
      </c>
      <c r="AJ32" t="str">
        <f t="shared" si="13"/>
        <v>30</v>
      </c>
      <c r="AK32" s="3" t="str">
        <f t="shared" si="14"/>
        <v>45</v>
      </c>
      <c r="AL32" t="str">
        <f t="shared" si="15"/>
        <v>64</v>
      </c>
      <c r="AM32" t="str">
        <f t="shared" si="16"/>
        <v>00</v>
      </c>
      <c r="AN32" t="str">
        <f t="shared" si="17"/>
        <v>00</v>
      </c>
      <c r="AO32" t="str">
        <f t="shared" si="18"/>
        <v>00</v>
      </c>
      <c r="AP32" t="str">
        <f t="shared" si="19"/>
        <v>00</v>
      </c>
      <c r="AQ32" t="str">
        <f t="shared" si="20"/>
        <v>00</v>
      </c>
      <c r="AR32" t="str">
        <f t="shared" si="21"/>
        <v>00</v>
      </c>
      <c r="AS32" t="str">
        <f t="shared" si="22"/>
        <v>23</v>
      </c>
      <c r="AV32" s="15" t="str">
        <f t="shared" si="23"/>
        <v>00100011</v>
      </c>
      <c r="AW32" s="15" t="str">
        <f t="shared" si="24"/>
        <v>11001011</v>
      </c>
      <c r="AX32" s="15" t="str">
        <f t="shared" si="25"/>
        <v>00100110</v>
      </c>
      <c r="AY32" s="15" t="str">
        <f t="shared" si="26"/>
        <v>00000001</v>
      </c>
      <c r="AZ32" s="15" t="str">
        <f t="shared" si="27"/>
        <v>00000000</v>
      </c>
      <c r="BA32" s="15" t="str">
        <f t="shared" si="28"/>
        <v>00100000</v>
      </c>
      <c r="BB32" s="15" t="str">
        <f t="shared" si="29"/>
        <v>00001000</v>
      </c>
      <c r="BC32" s="15" t="str">
        <f t="shared" si="30"/>
        <v>00001101</v>
      </c>
      <c r="BD32" s="22">
        <f t="shared" si="41"/>
        <v>13</v>
      </c>
      <c r="BE32" s="15" t="str">
        <f t="shared" si="31"/>
        <v>00110000</v>
      </c>
      <c r="BF32" s="35" t="str">
        <f t="shared" si="32"/>
        <v>01000101</v>
      </c>
      <c r="BG32" s="15"/>
      <c r="BH32" s="15" t="str">
        <f t="shared" si="33"/>
        <v>01100100</v>
      </c>
      <c r="BI32" s="22">
        <f t="shared" si="44"/>
        <v>100</v>
      </c>
      <c r="BJ32" s="15" t="str">
        <f t="shared" si="34"/>
        <v>00000000</v>
      </c>
      <c r="BK32" s="15"/>
      <c r="BL32" s="15" t="str">
        <f t="shared" si="35"/>
        <v>00000000</v>
      </c>
      <c r="BM32" s="15"/>
      <c r="BN32" s="15" t="str">
        <f t="shared" si="36"/>
        <v>00000000</v>
      </c>
      <c r="BO32" s="15"/>
      <c r="BP32" s="15" t="str">
        <f t="shared" si="37"/>
        <v>00000000</v>
      </c>
      <c r="BQ32" s="15" t="str">
        <f t="shared" si="38"/>
        <v>00000000</v>
      </c>
      <c r="BR32" s="15" t="str">
        <f t="shared" si="39"/>
        <v>00000000</v>
      </c>
      <c r="BS32" s="15" t="str">
        <f t="shared" si="40"/>
        <v>00100011</v>
      </c>
    </row>
    <row r="33" spans="1:72" x14ac:dyDescent="0.25">
      <c r="A33" t="s">
        <v>82</v>
      </c>
      <c r="B33" s="11">
        <v>0.69861111111111107</v>
      </c>
      <c r="C33">
        <v>30</v>
      </c>
      <c r="E33" t="s">
        <v>91</v>
      </c>
      <c r="F33" t="s">
        <v>102</v>
      </c>
      <c r="G33" t="s">
        <v>88</v>
      </c>
      <c r="H33" s="9" t="str">
        <f t="shared" si="43"/>
        <v>C4</v>
      </c>
      <c r="I33" s="9" t="str">
        <f t="shared" si="43"/>
        <v>D3</v>
      </c>
      <c r="J33" s="9" t="str">
        <f t="shared" si="43"/>
        <v>64</v>
      </c>
      <c r="K33" s="9" t="str">
        <f t="shared" si="43"/>
        <v>80</v>
      </c>
      <c r="L33" s="9" t="str">
        <f t="shared" si="43"/>
        <v>00</v>
      </c>
      <c r="M33" s="6" t="str">
        <f t="shared" si="43"/>
        <v>04</v>
      </c>
      <c r="N33" s="9" t="str">
        <f t="shared" si="43"/>
        <v>10</v>
      </c>
      <c r="O33" s="1" t="str">
        <f t="shared" si="43"/>
        <v>70</v>
      </c>
      <c r="P33" s="9" t="str">
        <f t="shared" si="43"/>
        <v>0C</v>
      </c>
      <c r="Q33" s="9" t="str">
        <f t="shared" si="43"/>
        <v>A2</v>
      </c>
      <c r="R33" s="12" t="str">
        <f t="shared" si="43"/>
        <v>26</v>
      </c>
      <c r="S33" s="9" t="str">
        <f t="shared" si="43"/>
        <v>00</v>
      </c>
      <c r="T33" s="9" t="str">
        <f t="shared" si="43"/>
        <v>00</v>
      </c>
      <c r="U33" s="9" t="str">
        <f t="shared" si="43"/>
        <v>00</v>
      </c>
      <c r="V33" s="9" t="str">
        <f t="shared" si="43"/>
        <v>00</v>
      </c>
      <c r="W33" s="9" t="str">
        <f t="shared" si="43"/>
        <v>00</v>
      </c>
      <c r="X33" s="9" t="str">
        <f t="shared" si="42"/>
        <v>00</v>
      </c>
      <c r="Y33" t="str">
        <f t="shared" si="42"/>
        <v>24</v>
      </c>
      <c r="AB33" t="str">
        <f t="shared" si="5"/>
        <v>23</v>
      </c>
      <c r="AC33" t="str">
        <f t="shared" si="6"/>
        <v>CB</v>
      </c>
      <c r="AD33" t="str">
        <f t="shared" si="7"/>
        <v>26</v>
      </c>
      <c r="AE33" t="str">
        <f t="shared" si="8"/>
        <v>01</v>
      </c>
      <c r="AF33" t="str">
        <f t="shared" si="9"/>
        <v>00</v>
      </c>
      <c r="AG33" t="str">
        <f t="shared" si="10"/>
        <v>20</v>
      </c>
      <c r="AH33" t="str">
        <f t="shared" si="11"/>
        <v>08</v>
      </c>
      <c r="AI33" t="str">
        <f t="shared" si="12"/>
        <v>0E</v>
      </c>
      <c r="AJ33" t="str">
        <f t="shared" si="13"/>
        <v>30</v>
      </c>
      <c r="AK33" s="3" t="str">
        <f t="shared" si="14"/>
        <v>45</v>
      </c>
      <c r="AL33" t="str">
        <f t="shared" si="15"/>
        <v>64</v>
      </c>
      <c r="AM33" t="str">
        <f t="shared" si="16"/>
        <v>00</v>
      </c>
      <c r="AN33" t="str">
        <f t="shared" si="17"/>
        <v>00</v>
      </c>
      <c r="AO33" t="str">
        <f t="shared" si="18"/>
        <v>00</v>
      </c>
      <c r="AP33" t="str">
        <f t="shared" si="19"/>
        <v>00</v>
      </c>
      <c r="AQ33" t="str">
        <f t="shared" si="20"/>
        <v>00</v>
      </c>
      <c r="AR33" t="str">
        <f t="shared" si="21"/>
        <v>00</v>
      </c>
      <c r="AS33" t="str">
        <f t="shared" si="22"/>
        <v>24</v>
      </c>
      <c r="AV33" s="15" t="str">
        <f t="shared" si="23"/>
        <v>00100011</v>
      </c>
      <c r="AW33" s="15" t="str">
        <f t="shared" si="24"/>
        <v>11001011</v>
      </c>
      <c r="AX33" s="15" t="str">
        <f t="shared" si="25"/>
        <v>00100110</v>
      </c>
      <c r="AY33" s="15" t="str">
        <f t="shared" si="26"/>
        <v>00000001</v>
      </c>
      <c r="AZ33" s="15" t="str">
        <f t="shared" si="27"/>
        <v>00000000</v>
      </c>
      <c r="BA33" s="15" t="str">
        <f t="shared" si="28"/>
        <v>00100000</v>
      </c>
      <c r="BB33" s="15" t="str">
        <f t="shared" si="29"/>
        <v>00001000</v>
      </c>
      <c r="BC33" s="15" t="str">
        <f t="shared" si="30"/>
        <v>00001110</v>
      </c>
      <c r="BD33" s="22">
        <f t="shared" si="41"/>
        <v>14</v>
      </c>
      <c r="BE33" s="15" t="str">
        <f t="shared" si="31"/>
        <v>00110000</v>
      </c>
      <c r="BF33" s="35" t="str">
        <f t="shared" si="32"/>
        <v>01000101</v>
      </c>
      <c r="BG33" s="15"/>
      <c r="BH33" s="15" t="str">
        <f t="shared" si="33"/>
        <v>01100100</v>
      </c>
      <c r="BI33" s="22">
        <f t="shared" si="44"/>
        <v>100</v>
      </c>
      <c r="BJ33" s="15" t="str">
        <f t="shared" si="34"/>
        <v>00000000</v>
      </c>
      <c r="BK33" s="15"/>
      <c r="BL33" s="15" t="str">
        <f t="shared" si="35"/>
        <v>00000000</v>
      </c>
      <c r="BM33" s="15"/>
      <c r="BN33" s="15" t="str">
        <f t="shared" si="36"/>
        <v>00000000</v>
      </c>
      <c r="BO33" s="15"/>
      <c r="BP33" s="15" t="str">
        <f t="shared" si="37"/>
        <v>00000000</v>
      </c>
      <c r="BQ33" s="15" t="str">
        <f t="shared" si="38"/>
        <v>00000000</v>
      </c>
      <c r="BR33" s="15" t="str">
        <f t="shared" si="39"/>
        <v>00000000</v>
      </c>
      <c r="BS33" s="15" t="str">
        <f t="shared" si="40"/>
        <v>00100100</v>
      </c>
    </row>
    <row r="34" spans="1:72" x14ac:dyDescent="0.25">
      <c r="A34" t="s">
        <v>83</v>
      </c>
      <c r="B34" s="11">
        <v>0.69861111111111107</v>
      </c>
      <c r="C34">
        <v>31</v>
      </c>
      <c r="E34" t="s">
        <v>91</v>
      </c>
      <c r="F34" t="s">
        <v>102</v>
      </c>
      <c r="G34" t="s">
        <v>88</v>
      </c>
      <c r="H34" s="9" t="str">
        <f t="shared" si="43"/>
        <v>C4</v>
      </c>
      <c r="I34" s="9" t="str">
        <f t="shared" si="43"/>
        <v>D3</v>
      </c>
      <c r="J34" s="9" t="str">
        <f t="shared" si="43"/>
        <v>64</v>
      </c>
      <c r="K34" s="9" t="str">
        <f t="shared" si="43"/>
        <v>80</v>
      </c>
      <c r="L34" s="9" t="str">
        <f t="shared" si="43"/>
        <v>00</v>
      </c>
      <c r="M34" s="6" t="str">
        <f t="shared" si="43"/>
        <v>04</v>
      </c>
      <c r="N34" s="9" t="str">
        <f t="shared" si="43"/>
        <v>10</v>
      </c>
      <c r="O34" s="1" t="str">
        <f t="shared" si="43"/>
        <v>F0</v>
      </c>
      <c r="P34" s="9" t="str">
        <f t="shared" si="43"/>
        <v>0C</v>
      </c>
      <c r="Q34" s="9" t="str">
        <f t="shared" si="43"/>
        <v>A1</v>
      </c>
      <c r="R34" s="12" t="str">
        <f t="shared" si="43"/>
        <v>26</v>
      </c>
      <c r="S34" s="9" t="str">
        <f t="shared" si="43"/>
        <v>00</v>
      </c>
      <c r="T34" s="9" t="str">
        <f t="shared" si="43"/>
        <v>00</v>
      </c>
      <c r="U34" s="9" t="str">
        <f t="shared" si="43"/>
        <v>00</v>
      </c>
      <c r="V34" s="9" t="str">
        <f t="shared" si="43"/>
        <v>00</v>
      </c>
      <c r="W34" s="9" t="str">
        <f t="shared" si="43"/>
        <v>00</v>
      </c>
      <c r="X34" s="9" t="str">
        <f t="shared" si="42"/>
        <v>00</v>
      </c>
      <c r="Y34" t="str">
        <f t="shared" si="42"/>
        <v>A6</v>
      </c>
      <c r="AB34" t="str">
        <f t="shared" si="5"/>
        <v>23</v>
      </c>
      <c r="AC34" t="str">
        <f t="shared" si="6"/>
        <v>CB</v>
      </c>
      <c r="AD34" t="str">
        <f t="shared" si="7"/>
        <v>26</v>
      </c>
      <c r="AE34" t="str">
        <f t="shared" si="8"/>
        <v>01</v>
      </c>
      <c r="AF34" t="str">
        <f t="shared" si="9"/>
        <v>00</v>
      </c>
      <c r="AG34" t="str">
        <f t="shared" si="10"/>
        <v>20</v>
      </c>
      <c r="AH34" t="str">
        <f t="shared" si="11"/>
        <v>08</v>
      </c>
      <c r="AI34" t="str">
        <f t="shared" si="12"/>
        <v>0F</v>
      </c>
      <c r="AJ34" t="str">
        <f t="shared" si="13"/>
        <v>30</v>
      </c>
      <c r="AK34" s="3" t="str">
        <f t="shared" si="14"/>
        <v>85</v>
      </c>
      <c r="AL34" t="str">
        <f t="shared" si="15"/>
        <v>64</v>
      </c>
      <c r="AM34" t="str">
        <f t="shared" si="16"/>
        <v>00</v>
      </c>
      <c r="AN34" t="str">
        <f t="shared" si="17"/>
        <v>00</v>
      </c>
      <c r="AO34" t="str">
        <f t="shared" si="18"/>
        <v>00</v>
      </c>
      <c r="AP34" t="str">
        <f t="shared" si="19"/>
        <v>00</v>
      </c>
      <c r="AQ34" t="str">
        <f t="shared" si="20"/>
        <v>00</v>
      </c>
      <c r="AR34" t="str">
        <f t="shared" si="21"/>
        <v>00</v>
      </c>
      <c r="AS34" t="str">
        <f t="shared" si="22"/>
        <v>65</v>
      </c>
      <c r="AV34" s="15" t="str">
        <f t="shared" si="23"/>
        <v>00100011</v>
      </c>
      <c r="AW34" s="15" t="str">
        <f t="shared" si="24"/>
        <v>11001011</v>
      </c>
      <c r="AX34" s="15" t="str">
        <f t="shared" si="25"/>
        <v>00100110</v>
      </c>
      <c r="AY34" s="15" t="str">
        <f t="shared" si="26"/>
        <v>00000001</v>
      </c>
      <c r="AZ34" s="15" t="str">
        <f t="shared" si="27"/>
        <v>00000000</v>
      </c>
      <c r="BA34" s="15" t="str">
        <f t="shared" si="28"/>
        <v>00100000</v>
      </c>
      <c r="BB34" s="15" t="str">
        <f t="shared" si="29"/>
        <v>00001000</v>
      </c>
      <c r="BC34" s="15" t="str">
        <f t="shared" si="30"/>
        <v>00001111</v>
      </c>
      <c r="BD34" s="22">
        <f t="shared" si="41"/>
        <v>15</v>
      </c>
      <c r="BE34" s="15" t="str">
        <f t="shared" si="31"/>
        <v>00110000</v>
      </c>
      <c r="BF34" s="35" t="str">
        <f t="shared" si="32"/>
        <v>10000101</v>
      </c>
      <c r="BG34" s="15"/>
      <c r="BH34" s="15" t="str">
        <f t="shared" si="33"/>
        <v>01100100</v>
      </c>
      <c r="BI34" s="22">
        <f t="shared" si="44"/>
        <v>100</v>
      </c>
      <c r="BJ34" s="15" t="str">
        <f t="shared" si="34"/>
        <v>00000000</v>
      </c>
      <c r="BK34" s="15"/>
      <c r="BL34" s="15" t="str">
        <f t="shared" si="35"/>
        <v>00000000</v>
      </c>
      <c r="BM34" s="15"/>
      <c r="BN34" s="15" t="str">
        <f t="shared" si="36"/>
        <v>00000000</v>
      </c>
      <c r="BO34" s="15"/>
      <c r="BP34" s="15" t="str">
        <f t="shared" si="37"/>
        <v>00000000</v>
      </c>
      <c r="BQ34" s="15" t="str">
        <f t="shared" si="38"/>
        <v>00000000</v>
      </c>
      <c r="BR34" s="15" t="str">
        <f t="shared" si="39"/>
        <v>00000000</v>
      </c>
      <c r="BS34" s="15" t="str">
        <f t="shared" si="40"/>
        <v>01100101</v>
      </c>
    </row>
    <row r="35" spans="1:72" x14ac:dyDescent="0.25">
      <c r="A35" t="s">
        <v>84</v>
      </c>
      <c r="B35" s="11">
        <v>0.69861111111111107</v>
      </c>
      <c r="C35">
        <v>31</v>
      </c>
      <c r="D35" t="s">
        <v>21</v>
      </c>
      <c r="E35" t="s">
        <v>91</v>
      </c>
      <c r="F35" t="s">
        <v>102</v>
      </c>
      <c r="G35" t="s">
        <v>88</v>
      </c>
      <c r="H35" s="9" t="str">
        <f t="shared" si="43"/>
        <v>C4</v>
      </c>
      <c r="I35" s="9" t="str">
        <f t="shared" si="43"/>
        <v>D3</v>
      </c>
      <c r="J35" s="9" t="str">
        <f t="shared" si="43"/>
        <v>64</v>
      </c>
      <c r="K35" s="9" t="str">
        <f t="shared" si="43"/>
        <v>80</v>
      </c>
      <c r="L35" s="9" t="str">
        <f t="shared" si="43"/>
        <v>00</v>
      </c>
      <c r="M35" s="1" t="str">
        <f t="shared" si="43"/>
        <v>00</v>
      </c>
      <c r="N35" s="9" t="str">
        <f t="shared" si="43"/>
        <v>10</v>
      </c>
      <c r="O35" s="1" t="str">
        <f t="shared" si="43"/>
        <v>F0</v>
      </c>
      <c r="P35" s="9" t="str">
        <f t="shared" si="43"/>
        <v>0C</v>
      </c>
      <c r="Q35" s="9" t="str">
        <f t="shared" si="43"/>
        <v>A2</v>
      </c>
      <c r="R35" s="12" t="str">
        <f t="shared" si="43"/>
        <v>26</v>
      </c>
      <c r="S35" s="9" t="str">
        <f t="shared" si="43"/>
        <v>00</v>
      </c>
      <c r="T35" s="9" t="str">
        <f t="shared" si="43"/>
        <v>00</v>
      </c>
      <c r="U35" s="9" t="str">
        <f t="shared" si="43"/>
        <v>00</v>
      </c>
      <c r="V35" s="9" t="str">
        <f t="shared" si="43"/>
        <v>00</v>
      </c>
      <c r="W35" s="9" t="str">
        <f t="shared" si="43"/>
        <v>00</v>
      </c>
      <c r="X35" s="9" t="str">
        <f t="shared" si="42"/>
        <v>00</v>
      </c>
      <c r="Y35" t="str">
        <f t="shared" si="42"/>
        <v>A0</v>
      </c>
      <c r="AB35" t="str">
        <f t="shared" si="5"/>
        <v>23</v>
      </c>
      <c r="AC35" t="str">
        <f t="shared" si="6"/>
        <v>CB</v>
      </c>
      <c r="AD35" t="str">
        <f t="shared" si="7"/>
        <v>26</v>
      </c>
      <c r="AE35" t="str">
        <f t="shared" si="8"/>
        <v>01</v>
      </c>
      <c r="AF35" t="str">
        <f t="shared" si="9"/>
        <v>00</v>
      </c>
      <c r="AG35" t="str">
        <f t="shared" si="10"/>
        <v>00</v>
      </c>
      <c r="AH35" t="str">
        <f t="shared" si="11"/>
        <v>08</v>
      </c>
      <c r="AI35" t="str">
        <f t="shared" si="12"/>
        <v>0F</v>
      </c>
      <c r="AJ35" t="str">
        <f t="shared" si="13"/>
        <v>30</v>
      </c>
      <c r="AK35" s="3" t="str">
        <f t="shared" si="14"/>
        <v>45</v>
      </c>
      <c r="AL35" t="str">
        <f t="shared" si="15"/>
        <v>64</v>
      </c>
      <c r="AM35" t="str">
        <f t="shared" si="16"/>
        <v>00</v>
      </c>
      <c r="AN35" t="str">
        <f t="shared" si="17"/>
        <v>00</v>
      </c>
      <c r="AO35" t="str">
        <f t="shared" si="18"/>
        <v>00</v>
      </c>
      <c r="AP35" t="str">
        <f t="shared" si="19"/>
        <v>00</v>
      </c>
      <c r="AQ35" t="str">
        <f t="shared" si="20"/>
        <v>00</v>
      </c>
      <c r="AR35" t="str">
        <f t="shared" si="21"/>
        <v>00</v>
      </c>
      <c r="AS35" t="str">
        <f t="shared" si="22"/>
        <v>05</v>
      </c>
      <c r="AV35" s="15" t="str">
        <f t="shared" si="23"/>
        <v>00100011</v>
      </c>
      <c r="AW35" s="15" t="str">
        <f t="shared" si="24"/>
        <v>11001011</v>
      </c>
      <c r="AX35" s="15" t="str">
        <f t="shared" si="25"/>
        <v>00100110</v>
      </c>
      <c r="AY35" s="15" t="str">
        <f t="shared" si="26"/>
        <v>00000001</v>
      </c>
      <c r="AZ35" s="15" t="str">
        <f t="shared" si="27"/>
        <v>00000000</v>
      </c>
      <c r="BA35" s="15" t="str">
        <f t="shared" si="28"/>
        <v>00000000</v>
      </c>
      <c r="BB35" s="15" t="str">
        <f t="shared" si="29"/>
        <v>00001000</v>
      </c>
      <c r="BC35" s="15" t="str">
        <f t="shared" si="30"/>
        <v>00001111</v>
      </c>
      <c r="BD35" s="22">
        <f t="shared" si="41"/>
        <v>15</v>
      </c>
      <c r="BE35" s="15" t="str">
        <f t="shared" si="31"/>
        <v>00110000</v>
      </c>
      <c r="BF35" s="35" t="str">
        <f t="shared" si="32"/>
        <v>01000101</v>
      </c>
      <c r="BG35" s="15"/>
      <c r="BH35" s="15" t="str">
        <f t="shared" si="33"/>
        <v>01100100</v>
      </c>
      <c r="BI35" s="22">
        <f t="shared" si="44"/>
        <v>100</v>
      </c>
      <c r="BJ35" s="15" t="str">
        <f t="shared" si="34"/>
        <v>00000000</v>
      </c>
      <c r="BK35" s="15"/>
      <c r="BL35" s="15" t="str">
        <f t="shared" si="35"/>
        <v>00000000</v>
      </c>
      <c r="BM35" s="15"/>
      <c r="BN35" s="15" t="str">
        <f t="shared" si="36"/>
        <v>00000000</v>
      </c>
      <c r="BO35" s="15"/>
      <c r="BP35" s="15" t="str">
        <f t="shared" si="37"/>
        <v>00000000</v>
      </c>
      <c r="BQ35" s="15" t="str">
        <f t="shared" si="38"/>
        <v>00000000</v>
      </c>
      <c r="BR35" s="15" t="str">
        <f t="shared" si="39"/>
        <v>00000000</v>
      </c>
      <c r="BS35" s="15" t="str">
        <f t="shared" si="40"/>
        <v>00000101</v>
      </c>
    </row>
    <row r="36" spans="1:72" s="16" customFormat="1" x14ac:dyDescent="0.25">
      <c r="A36" s="16" t="s">
        <v>85</v>
      </c>
      <c r="B36" s="17">
        <v>0.72152777777777777</v>
      </c>
      <c r="C36" s="16">
        <v>22</v>
      </c>
      <c r="D36" s="16" t="s">
        <v>1</v>
      </c>
      <c r="E36" t="s">
        <v>91</v>
      </c>
      <c r="F36" t="s">
        <v>102</v>
      </c>
      <c r="G36" t="s">
        <v>88</v>
      </c>
      <c r="H36" s="18" t="str">
        <f t="shared" si="43"/>
        <v>C4</v>
      </c>
      <c r="I36" s="18" t="str">
        <f t="shared" si="43"/>
        <v>D3</v>
      </c>
      <c r="J36" s="18" t="str">
        <f t="shared" si="43"/>
        <v>64</v>
      </c>
      <c r="K36" s="18" t="str">
        <f t="shared" si="43"/>
        <v>80</v>
      </c>
      <c r="L36" s="18" t="str">
        <f t="shared" si="43"/>
        <v>00</v>
      </c>
      <c r="M36" s="19" t="str">
        <f t="shared" si="43"/>
        <v>04</v>
      </c>
      <c r="N36" s="18" t="str">
        <f t="shared" si="43"/>
        <v>10</v>
      </c>
      <c r="O36" s="20" t="str">
        <f t="shared" si="43"/>
        <v>60</v>
      </c>
      <c r="P36" s="18" t="str">
        <f t="shared" si="43"/>
        <v>0C</v>
      </c>
      <c r="Q36" s="18" t="str">
        <f t="shared" si="43"/>
        <v>A2</v>
      </c>
      <c r="R36" s="21" t="str">
        <f t="shared" si="43"/>
        <v>E6</v>
      </c>
      <c r="S36" s="18" t="str">
        <f t="shared" si="43"/>
        <v>00</v>
      </c>
      <c r="T36" s="18" t="str">
        <f t="shared" si="43"/>
        <v>00</v>
      </c>
      <c r="U36" s="18" t="str">
        <f t="shared" si="43"/>
        <v>00</v>
      </c>
      <c r="V36" s="18" t="str">
        <f t="shared" si="43"/>
        <v>00</v>
      </c>
      <c r="W36" s="18" t="str">
        <f t="shared" si="43"/>
        <v>00</v>
      </c>
      <c r="X36" s="18" t="str">
        <f t="shared" si="42"/>
        <v>00</v>
      </c>
      <c r="Y36" s="16" t="str">
        <f t="shared" si="42"/>
        <v>F8</v>
      </c>
      <c r="AB36" s="20" t="str">
        <f t="shared" ref="AB36" si="45">BIN2HEX(ReverseText(HEX2BIN(H36,8)),2)</f>
        <v>23</v>
      </c>
      <c r="AC36" s="20" t="str">
        <f t="shared" ref="AC36" si="46">BIN2HEX(ReverseText(HEX2BIN(I36,8)),2)</f>
        <v>CB</v>
      </c>
      <c r="AD36" s="20" t="str">
        <f t="shared" ref="AD36" si="47">BIN2HEX(ReverseText(HEX2BIN(J36,8)),2)</f>
        <v>26</v>
      </c>
      <c r="AE36" s="20" t="str">
        <f t="shared" ref="AE36" si="48">BIN2HEX(ReverseText(HEX2BIN(K36,8)),2)</f>
        <v>01</v>
      </c>
      <c r="AF36" s="20" t="str">
        <f t="shared" ref="AF36" si="49">BIN2HEX(ReverseText(HEX2BIN(L36,8)),2)</f>
        <v>00</v>
      </c>
      <c r="AG36" s="20" t="str">
        <f t="shared" ref="AG36" si="50">BIN2HEX(ReverseText(HEX2BIN(M36,8)),2)</f>
        <v>20</v>
      </c>
      <c r="AH36" s="20" t="str">
        <f t="shared" ref="AH36" si="51">BIN2HEX(ReverseText(HEX2BIN(N36,8)),2)</f>
        <v>08</v>
      </c>
      <c r="AI36" s="20" t="str">
        <f t="shared" ref="AI36" si="52">BIN2HEX(ReverseText(HEX2BIN(O36,8)),2)</f>
        <v>06</v>
      </c>
      <c r="AJ36" s="20" t="str">
        <f t="shared" ref="AJ36" si="53">BIN2HEX(ReverseText(HEX2BIN(P36,8)),2)</f>
        <v>30</v>
      </c>
      <c r="AK36" s="31" t="str">
        <f t="shared" ref="AK36" si="54">BIN2HEX(ReverseText(HEX2BIN(Q36,8)),2)</f>
        <v>45</v>
      </c>
      <c r="AL36" s="20" t="str">
        <f t="shared" ref="AL36" si="55">BIN2HEX(ReverseText(HEX2BIN(R36,8)),2)</f>
        <v>67</v>
      </c>
      <c r="AM36" s="20" t="str">
        <f t="shared" ref="AM36" si="56">BIN2HEX(ReverseText(HEX2BIN(S36,8)),2)</f>
        <v>00</v>
      </c>
      <c r="AN36" s="20" t="str">
        <f t="shared" ref="AN36" si="57">BIN2HEX(ReverseText(HEX2BIN(T36,8)),2)</f>
        <v>00</v>
      </c>
      <c r="AO36" s="20" t="str">
        <f t="shared" ref="AO36" si="58">BIN2HEX(ReverseText(HEX2BIN(U36,8)),2)</f>
        <v>00</v>
      </c>
      <c r="AP36" s="20" t="str">
        <f t="shared" ref="AP36" si="59">BIN2HEX(ReverseText(HEX2BIN(V36,8)),2)</f>
        <v>00</v>
      </c>
      <c r="AQ36" s="20" t="str">
        <f t="shared" ref="AQ36" si="60">BIN2HEX(ReverseText(HEX2BIN(W36,8)),2)</f>
        <v>00</v>
      </c>
      <c r="AR36" s="20" t="str">
        <f t="shared" ref="AR36" si="61">BIN2HEX(ReverseText(HEX2BIN(X36,8)),2)</f>
        <v>00</v>
      </c>
      <c r="AS36" s="20" t="str">
        <f t="shared" ref="AS36" si="62">BIN2HEX(ReverseText(HEX2BIN(Y36,8)),2)</f>
        <v>1F</v>
      </c>
      <c r="AV36" s="22" t="str">
        <f t="shared" ref="AV36" si="63">HEX2BIN(AB36,8)</f>
        <v>00100011</v>
      </c>
      <c r="AW36" s="22" t="str">
        <f t="shared" ref="AW36" si="64">HEX2BIN(AC36,8)</f>
        <v>11001011</v>
      </c>
      <c r="AX36" s="22" t="str">
        <f t="shared" ref="AX36" si="65">HEX2BIN(AD36,8)</f>
        <v>00100110</v>
      </c>
      <c r="AY36" s="22" t="str">
        <f t="shared" ref="AY36" si="66">HEX2BIN(AE36,8)</f>
        <v>00000001</v>
      </c>
      <c r="AZ36" s="22" t="str">
        <f t="shared" ref="AZ36" si="67">HEX2BIN(AF36,8)</f>
        <v>00000000</v>
      </c>
      <c r="BA36" s="22" t="str">
        <f t="shared" ref="BA36" si="68">HEX2BIN(AG36,8)</f>
        <v>00100000</v>
      </c>
      <c r="BB36" s="22" t="str">
        <f t="shared" ref="BB36" si="69">HEX2BIN(AH36,8)</f>
        <v>00001000</v>
      </c>
      <c r="BC36" s="22" t="str">
        <f t="shared" ref="BC36" si="70">HEX2BIN(AI36,8)</f>
        <v>00000110</v>
      </c>
      <c r="BD36" s="22">
        <f t="shared" ref="BD36:BD79" si="71">BIN2DEC(BC36)</f>
        <v>6</v>
      </c>
      <c r="BE36" s="22" t="str">
        <f t="shared" ref="BE36" si="72">HEX2BIN(AJ36,8)</f>
        <v>00110000</v>
      </c>
      <c r="BF36" s="31" t="str">
        <f t="shared" ref="BF36" si="73">HEX2BIN(AK36,8)</f>
        <v>01000101</v>
      </c>
      <c r="BG36" s="22">
        <f t="shared" si="44"/>
        <v>69</v>
      </c>
      <c r="BH36" s="22" t="str">
        <f t="shared" ref="BH36" si="74">HEX2BIN(AL36,8)</f>
        <v>01100111</v>
      </c>
      <c r="BI36" s="22">
        <f t="shared" si="44"/>
        <v>103</v>
      </c>
      <c r="BJ36" s="22" t="str">
        <f t="shared" ref="BJ36" si="75">HEX2BIN(AM36,8)</f>
        <v>00000000</v>
      </c>
      <c r="BK36" s="22"/>
      <c r="BL36" s="22" t="str">
        <f t="shared" ref="BL36" si="76">HEX2BIN(AN36,8)</f>
        <v>00000000</v>
      </c>
      <c r="BM36" s="22"/>
      <c r="BN36" s="22" t="str">
        <f t="shared" ref="BN36" si="77">HEX2BIN(AO36,8)</f>
        <v>00000000</v>
      </c>
      <c r="BO36" s="22"/>
      <c r="BP36" s="22" t="str">
        <f t="shared" ref="BP36" si="78">HEX2BIN(AP36,8)</f>
        <v>00000000</v>
      </c>
      <c r="BQ36" s="22" t="str">
        <f t="shared" ref="BQ36" si="79">HEX2BIN(AQ36,8)</f>
        <v>00000000</v>
      </c>
      <c r="BR36" s="22" t="str">
        <f t="shared" ref="BR36" si="80">HEX2BIN(AR36,8)</f>
        <v>00000000</v>
      </c>
      <c r="BS36" s="22" t="str">
        <f t="shared" ref="BS36" si="81">HEX2BIN(AS36,8)</f>
        <v>00011111</v>
      </c>
      <c r="BT36" s="16">
        <f>BIN2DEC(BS36)</f>
        <v>31</v>
      </c>
    </row>
    <row r="37" spans="1:72" x14ac:dyDescent="0.25">
      <c r="A37" s="4" t="s">
        <v>86</v>
      </c>
      <c r="B37" s="23">
        <v>0.72499999999999998</v>
      </c>
      <c r="C37" s="16">
        <v>22</v>
      </c>
      <c r="D37" s="16" t="s">
        <v>1</v>
      </c>
      <c r="E37" t="s">
        <v>91</v>
      </c>
      <c r="F37" t="s">
        <v>102</v>
      </c>
      <c r="G37" t="s">
        <v>88</v>
      </c>
      <c r="H37" s="10" t="str">
        <f t="shared" si="43"/>
        <v>C4</v>
      </c>
      <c r="I37" s="10" t="str">
        <f t="shared" si="43"/>
        <v>D3</v>
      </c>
      <c r="J37" s="10" t="str">
        <f t="shared" si="43"/>
        <v>64</v>
      </c>
      <c r="K37" s="10" t="str">
        <f t="shared" si="43"/>
        <v>80</v>
      </c>
      <c r="L37" s="10" t="str">
        <f t="shared" si="43"/>
        <v>00</v>
      </c>
      <c r="M37" s="24" t="str">
        <f t="shared" si="43"/>
        <v>04</v>
      </c>
      <c r="N37" s="10" t="str">
        <f t="shared" si="43"/>
        <v>10</v>
      </c>
      <c r="O37" s="25" t="str">
        <f t="shared" si="43"/>
        <v>60</v>
      </c>
      <c r="P37" s="10" t="str">
        <f t="shared" si="43"/>
        <v>0C</v>
      </c>
      <c r="Q37" s="10" t="str">
        <f t="shared" si="43"/>
        <v>A2</v>
      </c>
      <c r="R37" s="26" t="str">
        <f t="shared" si="43"/>
        <v>16</v>
      </c>
      <c r="S37" s="10" t="str">
        <f t="shared" si="43"/>
        <v>00</v>
      </c>
      <c r="T37" s="10" t="str">
        <f t="shared" si="43"/>
        <v>00</v>
      </c>
      <c r="U37" s="10" t="str">
        <f t="shared" si="43"/>
        <v>00</v>
      </c>
      <c r="V37" s="10" t="str">
        <f t="shared" si="43"/>
        <v>00</v>
      </c>
      <c r="W37" s="10" t="str">
        <f t="shared" si="43"/>
        <v>00</v>
      </c>
      <c r="X37" s="10" t="str">
        <f t="shared" si="42"/>
        <v>00</v>
      </c>
      <c r="Y37" s="4" t="str">
        <f t="shared" si="42"/>
        <v>04</v>
      </c>
      <c r="Z37" s="4"/>
      <c r="AA37" s="4"/>
      <c r="AB37" s="16" t="str">
        <f t="shared" ref="AB37" si="82">BIN2HEX(ReverseText(HEX2BIN(H37,8)),2)</f>
        <v>23</v>
      </c>
      <c r="AC37" s="16" t="str">
        <f t="shared" ref="AC37" si="83">BIN2HEX(ReverseText(HEX2BIN(I37,8)),2)</f>
        <v>CB</v>
      </c>
      <c r="AD37" s="16" t="str">
        <f t="shared" ref="AD37" si="84">BIN2HEX(ReverseText(HEX2BIN(J37,8)),2)</f>
        <v>26</v>
      </c>
      <c r="AE37" s="16" t="str">
        <f t="shared" ref="AE37" si="85">BIN2HEX(ReverseText(HEX2BIN(K37,8)),2)</f>
        <v>01</v>
      </c>
      <c r="AF37" s="16" t="str">
        <f t="shared" ref="AF37" si="86">BIN2HEX(ReverseText(HEX2BIN(L37,8)),2)</f>
        <v>00</v>
      </c>
      <c r="AG37" s="16" t="str">
        <f t="shared" ref="AG37" si="87">BIN2HEX(ReverseText(HEX2BIN(M37,8)),2)</f>
        <v>20</v>
      </c>
      <c r="AH37" s="16" t="str">
        <f t="shared" ref="AH37" si="88">BIN2HEX(ReverseText(HEX2BIN(N37,8)),2)</f>
        <v>08</v>
      </c>
      <c r="AI37" s="16" t="str">
        <f t="shared" ref="AI37" si="89">BIN2HEX(ReverseText(HEX2BIN(O37,8)),2)</f>
        <v>06</v>
      </c>
      <c r="AJ37" s="16" t="str">
        <f t="shared" ref="AJ37" si="90">BIN2HEX(ReverseText(HEX2BIN(P37,8)),2)</f>
        <v>30</v>
      </c>
      <c r="AK37" s="31" t="str">
        <f t="shared" ref="AK37" si="91">BIN2HEX(ReverseText(HEX2BIN(Q37,8)),2)</f>
        <v>45</v>
      </c>
      <c r="AL37" s="16" t="str">
        <f t="shared" ref="AL37" si="92">BIN2HEX(ReverseText(HEX2BIN(R37,8)),2)</f>
        <v>68</v>
      </c>
      <c r="AM37" s="16" t="str">
        <f t="shared" ref="AM37" si="93">BIN2HEX(ReverseText(HEX2BIN(S37,8)),2)</f>
        <v>00</v>
      </c>
      <c r="AN37" s="16" t="str">
        <f t="shared" ref="AN37" si="94">BIN2HEX(ReverseText(HEX2BIN(T37,8)),2)</f>
        <v>00</v>
      </c>
      <c r="AO37" s="16" t="str">
        <f t="shared" ref="AO37" si="95">BIN2HEX(ReverseText(HEX2BIN(U37,8)),2)</f>
        <v>00</v>
      </c>
      <c r="AP37" s="16" t="str">
        <f t="shared" ref="AP37" si="96">BIN2HEX(ReverseText(HEX2BIN(V37,8)),2)</f>
        <v>00</v>
      </c>
      <c r="AQ37" s="16" t="str">
        <f t="shared" ref="AQ37" si="97">BIN2HEX(ReverseText(HEX2BIN(W37,8)),2)</f>
        <v>00</v>
      </c>
      <c r="AR37" s="16" t="str">
        <f t="shared" ref="AR37" si="98">BIN2HEX(ReverseText(HEX2BIN(X37,8)),2)</f>
        <v>00</v>
      </c>
      <c r="AS37" s="16" t="str">
        <f t="shared" ref="AS37" si="99">BIN2HEX(ReverseText(HEX2BIN(Y37,8)),2)</f>
        <v>20</v>
      </c>
      <c r="AT37" s="16"/>
      <c r="AU37" s="16"/>
      <c r="AV37" s="22" t="str">
        <f t="shared" ref="AV37" si="100">HEX2BIN(AB37,8)</f>
        <v>00100011</v>
      </c>
      <c r="AW37" s="22" t="str">
        <f t="shared" ref="AW37" si="101">HEX2BIN(AC37,8)</f>
        <v>11001011</v>
      </c>
      <c r="AX37" s="22" t="str">
        <f t="shared" ref="AX37" si="102">HEX2BIN(AD37,8)</f>
        <v>00100110</v>
      </c>
      <c r="AY37" s="22" t="str">
        <f t="shared" ref="AY37" si="103">HEX2BIN(AE37,8)</f>
        <v>00000001</v>
      </c>
      <c r="AZ37" s="22" t="str">
        <f t="shared" ref="AZ37" si="104">HEX2BIN(AF37,8)</f>
        <v>00000000</v>
      </c>
      <c r="BA37" s="22" t="str">
        <f t="shared" ref="BA37" si="105">HEX2BIN(AG37,8)</f>
        <v>00100000</v>
      </c>
      <c r="BB37" s="22" t="str">
        <f t="shared" ref="BB37" si="106">HEX2BIN(AH37,8)</f>
        <v>00001000</v>
      </c>
      <c r="BC37" s="22" t="str">
        <f t="shared" ref="BC37" si="107">HEX2BIN(AI37,8)</f>
        <v>00000110</v>
      </c>
      <c r="BD37" s="22">
        <f t="shared" si="71"/>
        <v>6</v>
      </c>
      <c r="BE37" s="22" t="str">
        <f t="shared" ref="BE37" si="108">HEX2BIN(AJ37,8)</f>
        <v>00110000</v>
      </c>
      <c r="BF37" s="31" t="str">
        <f t="shared" ref="BF37" si="109">HEX2BIN(AK37,8)</f>
        <v>01000101</v>
      </c>
      <c r="BG37" s="22">
        <f t="shared" si="44"/>
        <v>69</v>
      </c>
      <c r="BH37" s="22" t="str">
        <f t="shared" ref="BH37" si="110">HEX2BIN(AL37,8)</f>
        <v>01101000</v>
      </c>
      <c r="BI37" s="22">
        <f t="shared" si="44"/>
        <v>104</v>
      </c>
      <c r="BJ37" s="22" t="str">
        <f t="shared" ref="BJ37" si="111">HEX2BIN(AM37,8)</f>
        <v>00000000</v>
      </c>
      <c r="BK37" s="22"/>
      <c r="BL37" s="22" t="str">
        <f t="shared" ref="BL37" si="112">HEX2BIN(AN37,8)</f>
        <v>00000000</v>
      </c>
      <c r="BM37" s="22"/>
      <c r="BN37" s="22" t="str">
        <f t="shared" ref="BN37" si="113">HEX2BIN(AO37,8)</f>
        <v>00000000</v>
      </c>
      <c r="BO37" s="22"/>
      <c r="BP37" s="22" t="str">
        <f t="shared" ref="BP37" si="114">HEX2BIN(AP37,8)</f>
        <v>00000000</v>
      </c>
      <c r="BQ37" s="22" t="str">
        <f t="shared" ref="BQ37" si="115">HEX2BIN(AQ37,8)</f>
        <v>00000000</v>
      </c>
      <c r="BR37" s="22" t="str">
        <f t="shared" ref="BR37" si="116">HEX2BIN(AR37,8)</f>
        <v>00000000</v>
      </c>
      <c r="BS37" s="22" t="str">
        <f t="shared" ref="BS37" si="117">HEX2BIN(AS37,8)</f>
        <v>00100000</v>
      </c>
      <c r="BT37" s="16">
        <f>BIN2DEC(BS37)</f>
        <v>32</v>
      </c>
    </row>
    <row r="38" spans="1:72" x14ac:dyDescent="0.25">
      <c r="A38" s="4" t="s">
        <v>86</v>
      </c>
      <c r="B38" s="23">
        <v>0.72638888888888886</v>
      </c>
      <c r="C38" s="16">
        <v>22</v>
      </c>
      <c r="D38" s="16" t="s">
        <v>1</v>
      </c>
      <c r="E38" t="s">
        <v>91</v>
      </c>
      <c r="F38" t="s">
        <v>102</v>
      </c>
      <c r="G38" t="s">
        <v>88</v>
      </c>
      <c r="H38" s="10" t="str">
        <f t="shared" si="43"/>
        <v>C4</v>
      </c>
      <c r="I38" s="10" t="str">
        <f t="shared" si="43"/>
        <v>D3</v>
      </c>
      <c r="J38" s="10" t="str">
        <f t="shared" si="43"/>
        <v>64</v>
      </c>
      <c r="K38" s="10" t="str">
        <f t="shared" si="43"/>
        <v>80</v>
      </c>
      <c r="L38" s="10" t="str">
        <f t="shared" si="43"/>
        <v>00</v>
      </c>
      <c r="M38" s="24" t="str">
        <f t="shared" si="43"/>
        <v>04</v>
      </c>
      <c r="N38" s="10" t="str">
        <f t="shared" si="43"/>
        <v>10</v>
      </c>
      <c r="O38" s="25" t="str">
        <f t="shared" si="43"/>
        <v>60</v>
      </c>
      <c r="P38" s="10" t="str">
        <f t="shared" si="43"/>
        <v>0C</v>
      </c>
      <c r="Q38" s="10" t="str">
        <f t="shared" si="43"/>
        <v>A2</v>
      </c>
      <c r="R38" s="26" t="str">
        <f t="shared" si="43"/>
        <v>16</v>
      </c>
      <c r="S38" s="10" t="str">
        <f t="shared" si="43"/>
        <v>00</v>
      </c>
      <c r="T38" s="10" t="str">
        <f t="shared" si="43"/>
        <v>00</v>
      </c>
      <c r="U38" s="10" t="str">
        <f t="shared" si="43"/>
        <v>00</v>
      </c>
      <c r="V38" s="10" t="str">
        <f t="shared" ref="V38:Y48" si="118">RIGHT(LEFT($A38,2*V$6),2)</f>
        <v>00</v>
      </c>
      <c r="W38" s="10" t="str">
        <f t="shared" si="118"/>
        <v>00</v>
      </c>
      <c r="X38" s="10" t="str">
        <f t="shared" si="42"/>
        <v>00</v>
      </c>
      <c r="Y38" s="4" t="str">
        <f t="shared" si="42"/>
        <v>04</v>
      </c>
      <c r="Z38" s="4"/>
      <c r="AA38" s="4"/>
      <c r="AB38" s="16" t="str">
        <f t="shared" ref="AB38:AB40" si="119">BIN2HEX(ReverseText(HEX2BIN(H38,8)),2)</f>
        <v>23</v>
      </c>
      <c r="AC38" s="16" t="str">
        <f t="shared" ref="AC38:AC40" si="120">BIN2HEX(ReverseText(HEX2BIN(I38,8)),2)</f>
        <v>CB</v>
      </c>
      <c r="AD38" s="16" t="str">
        <f t="shared" ref="AD38:AD40" si="121">BIN2HEX(ReverseText(HEX2BIN(J38,8)),2)</f>
        <v>26</v>
      </c>
      <c r="AE38" s="16" t="str">
        <f t="shared" ref="AE38:AE40" si="122">BIN2HEX(ReverseText(HEX2BIN(K38,8)),2)</f>
        <v>01</v>
      </c>
      <c r="AF38" s="16" t="str">
        <f t="shared" ref="AF38:AF40" si="123">BIN2HEX(ReverseText(HEX2BIN(L38,8)),2)</f>
        <v>00</v>
      </c>
      <c r="AG38" s="16" t="str">
        <f t="shared" ref="AG38:AG40" si="124">BIN2HEX(ReverseText(HEX2BIN(M38,8)),2)</f>
        <v>20</v>
      </c>
      <c r="AH38" s="16" t="str">
        <f t="shared" ref="AH38:AH40" si="125">BIN2HEX(ReverseText(HEX2BIN(N38,8)),2)</f>
        <v>08</v>
      </c>
      <c r="AI38" s="16" t="str">
        <f t="shared" ref="AI38:AI40" si="126">BIN2HEX(ReverseText(HEX2BIN(O38,8)),2)</f>
        <v>06</v>
      </c>
      <c r="AJ38" s="16" t="str">
        <f t="shared" ref="AJ38:AJ40" si="127">BIN2HEX(ReverseText(HEX2BIN(P38,8)),2)</f>
        <v>30</v>
      </c>
      <c r="AK38" s="31" t="str">
        <f t="shared" ref="AK38:AK40" si="128">BIN2HEX(ReverseText(HEX2BIN(Q38,8)),2)</f>
        <v>45</v>
      </c>
      <c r="AL38" s="16" t="str">
        <f t="shared" ref="AL38:AL40" si="129">BIN2HEX(ReverseText(HEX2BIN(R38,8)),2)</f>
        <v>68</v>
      </c>
      <c r="AM38" s="16" t="str">
        <f t="shared" ref="AM38:AM40" si="130">BIN2HEX(ReverseText(HEX2BIN(S38,8)),2)</f>
        <v>00</v>
      </c>
      <c r="AN38" s="16" t="str">
        <f t="shared" ref="AN38:AN40" si="131">BIN2HEX(ReverseText(HEX2BIN(T38,8)),2)</f>
        <v>00</v>
      </c>
      <c r="AO38" s="16" t="str">
        <f t="shared" ref="AO38:AO40" si="132">BIN2HEX(ReverseText(HEX2BIN(U38,8)),2)</f>
        <v>00</v>
      </c>
      <c r="AP38" s="16" t="str">
        <f t="shared" ref="AP38:AP40" si="133">BIN2HEX(ReverseText(HEX2BIN(V38,8)),2)</f>
        <v>00</v>
      </c>
      <c r="AQ38" s="16" t="str">
        <f t="shared" ref="AQ38:AQ40" si="134">BIN2HEX(ReverseText(HEX2BIN(W38,8)),2)</f>
        <v>00</v>
      </c>
      <c r="AR38" s="16" t="str">
        <f t="shared" ref="AR38:AR40" si="135">BIN2HEX(ReverseText(HEX2BIN(X38,8)),2)</f>
        <v>00</v>
      </c>
      <c r="AS38" s="16" t="str">
        <f t="shared" ref="AS38:AS40" si="136">BIN2HEX(ReverseText(HEX2BIN(Y38,8)),2)</f>
        <v>20</v>
      </c>
      <c r="AT38" s="16"/>
      <c r="AU38" s="16"/>
      <c r="AV38" s="22" t="str">
        <f t="shared" ref="AV38:AV40" si="137">HEX2BIN(AB38,8)</f>
        <v>00100011</v>
      </c>
      <c r="AW38" s="22" t="str">
        <f t="shared" ref="AW38:AW40" si="138">HEX2BIN(AC38,8)</f>
        <v>11001011</v>
      </c>
      <c r="AX38" s="22" t="str">
        <f t="shared" ref="AX38:AX40" si="139">HEX2BIN(AD38,8)</f>
        <v>00100110</v>
      </c>
      <c r="AY38" s="22" t="str">
        <f t="shared" ref="AY38:AY40" si="140">HEX2BIN(AE38,8)</f>
        <v>00000001</v>
      </c>
      <c r="AZ38" s="22" t="str">
        <f t="shared" ref="AZ38:AZ40" si="141">HEX2BIN(AF38,8)</f>
        <v>00000000</v>
      </c>
      <c r="BA38" s="22" t="str">
        <f t="shared" ref="BA38:BA40" si="142">HEX2BIN(AG38,8)</f>
        <v>00100000</v>
      </c>
      <c r="BB38" s="22" t="str">
        <f t="shared" ref="BB38:BB40" si="143">HEX2BIN(AH38,8)</f>
        <v>00001000</v>
      </c>
      <c r="BC38" s="22" t="str">
        <f t="shared" ref="BC38:BC40" si="144">HEX2BIN(AI38,8)</f>
        <v>00000110</v>
      </c>
      <c r="BD38" s="22">
        <f t="shared" si="71"/>
        <v>6</v>
      </c>
      <c r="BE38" s="22" t="str">
        <f t="shared" ref="BE38:BE40" si="145">HEX2BIN(AJ38,8)</f>
        <v>00110000</v>
      </c>
      <c r="BF38" s="31" t="str">
        <f t="shared" ref="BF38:BF40" si="146">HEX2BIN(AK38,8)</f>
        <v>01000101</v>
      </c>
      <c r="BG38" s="22">
        <f t="shared" ref="BG38" si="147">BIN2DEC(BF38)</f>
        <v>69</v>
      </c>
      <c r="BH38" s="22" t="str">
        <f t="shared" ref="BH38:BH40" si="148">HEX2BIN(AL38,8)</f>
        <v>01101000</v>
      </c>
      <c r="BI38" s="22">
        <f t="shared" si="44"/>
        <v>104</v>
      </c>
      <c r="BJ38" s="22" t="str">
        <f t="shared" ref="BJ38:BJ40" si="149">HEX2BIN(AM38,8)</f>
        <v>00000000</v>
      </c>
      <c r="BK38" s="22"/>
      <c r="BL38" s="22" t="str">
        <f t="shared" ref="BL38:BL40" si="150">HEX2BIN(AN38,8)</f>
        <v>00000000</v>
      </c>
      <c r="BM38" s="22"/>
      <c r="BN38" s="22" t="str">
        <f t="shared" ref="BN38:BN40" si="151">HEX2BIN(AO38,8)</f>
        <v>00000000</v>
      </c>
      <c r="BO38" s="22"/>
      <c r="BP38" s="22" t="str">
        <f t="shared" ref="BP38:BP40" si="152">HEX2BIN(AP38,8)</f>
        <v>00000000</v>
      </c>
      <c r="BQ38" s="22" t="str">
        <f t="shared" ref="BQ38:BQ40" si="153">HEX2BIN(AQ38,8)</f>
        <v>00000000</v>
      </c>
      <c r="BR38" s="22" t="str">
        <f t="shared" ref="BR38:BR40" si="154">HEX2BIN(AR38,8)</f>
        <v>00000000</v>
      </c>
      <c r="BS38" s="22" t="str">
        <f t="shared" ref="BS38:BS40" si="155">HEX2BIN(AS38,8)</f>
        <v>00100000</v>
      </c>
      <c r="BT38" s="16">
        <f t="shared" ref="BT38:BT48" si="156">BIN2DEC(BS38)</f>
        <v>32</v>
      </c>
    </row>
    <row r="39" spans="1:72" x14ac:dyDescent="0.25">
      <c r="A39" s="4" t="s">
        <v>86</v>
      </c>
      <c r="B39" s="23">
        <v>0.7270833333333333</v>
      </c>
      <c r="C39" s="16">
        <v>22</v>
      </c>
      <c r="D39" s="16" t="s">
        <v>1</v>
      </c>
      <c r="E39" t="s">
        <v>91</v>
      </c>
      <c r="F39" t="s">
        <v>102</v>
      </c>
      <c r="G39" t="s">
        <v>88</v>
      </c>
      <c r="H39" s="10" t="str">
        <f t="shared" ref="H39:U48" si="157">RIGHT(LEFT($A39,2*H$6),2)</f>
        <v>C4</v>
      </c>
      <c r="I39" s="10" t="str">
        <f t="shared" si="157"/>
        <v>D3</v>
      </c>
      <c r="J39" s="10" t="str">
        <f t="shared" si="157"/>
        <v>64</v>
      </c>
      <c r="K39" s="10" t="str">
        <f t="shared" si="157"/>
        <v>80</v>
      </c>
      <c r="L39" s="10" t="str">
        <f t="shared" si="157"/>
        <v>00</v>
      </c>
      <c r="M39" s="24" t="str">
        <f t="shared" si="157"/>
        <v>04</v>
      </c>
      <c r="N39" s="10" t="str">
        <f t="shared" si="157"/>
        <v>10</v>
      </c>
      <c r="O39" s="25" t="str">
        <f t="shared" si="157"/>
        <v>60</v>
      </c>
      <c r="P39" s="10" t="str">
        <f t="shared" si="157"/>
        <v>0C</v>
      </c>
      <c r="Q39" s="10" t="str">
        <f t="shared" si="157"/>
        <v>A2</v>
      </c>
      <c r="R39" s="26" t="str">
        <f t="shared" si="157"/>
        <v>16</v>
      </c>
      <c r="S39" s="10" t="str">
        <f t="shared" si="157"/>
        <v>00</v>
      </c>
      <c r="T39" s="10" t="str">
        <f t="shared" si="157"/>
        <v>00</v>
      </c>
      <c r="U39" s="10" t="str">
        <f t="shared" si="157"/>
        <v>00</v>
      </c>
      <c r="V39" s="10" t="str">
        <f t="shared" si="118"/>
        <v>00</v>
      </c>
      <c r="W39" s="10" t="str">
        <f t="shared" si="118"/>
        <v>00</v>
      </c>
      <c r="X39" s="10" t="str">
        <f t="shared" si="42"/>
        <v>00</v>
      </c>
      <c r="Y39" s="4" t="str">
        <f t="shared" si="42"/>
        <v>04</v>
      </c>
      <c r="Z39" s="4"/>
      <c r="AA39" s="4"/>
      <c r="AB39" s="16" t="str">
        <f t="shared" si="119"/>
        <v>23</v>
      </c>
      <c r="AC39" s="16" t="str">
        <f t="shared" si="120"/>
        <v>CB</v>
      </c>
      <c r="AD39" s="16" t="str">
        <f t="shared" si="121"/>
        <v>26</v>
      </c>
      <c r="AE39" s="16" t="str">
        <f t="shared" si="122"/>
        <v>01</v>
      </c>
      <c r="AF39" s="16" t="str">
        <f t="shared" si="123"/>
        <v>00</v>
      </c>
      <c r="AG39" s="16" t="str">
        <f t="shared" si="124"/>
        <v>20</v>
      </c>
      <c r="AH39" s="16" t="str">
        <f t="shared" si="125"/>
        <v>08</v>
      </c>
      <c r="AI39" s="16" t="str">
        <f t="shared" si="126"/>
        <v>06</v>
      </c>
      <c r="AJ39" s="16" t="str">
        <f t="shared" si="127"/>
        <v>30</v>
      </c>
      <c r="AK39" s="31" t="str">
        <f t="shared" si="128"/>
        <v>45</v>
      </c>
      <c r="AL39" s="16" t="str">
        <f t="shared" si="129"/>
        <v>68</v>
      </c>
      <c r="AM39" s="16" t="str">
        <f t="shared" si="130"/>
        <v>00</v>
      </c>
      <c r="AN39" s="16" t="str">
        <f t="shared" si="131"/>
        <v>00</v>
      </c>
      <c r="AO39" s="16" t="str">
        <f t="shared" si="132"/>
        <v>00</v>
      </c>
      <c r="AP39" s="16" t="str">
        <f t="shared" si="133"/>
        <v>00</v>
      </c>
      <c r="AQ39" s="16" t="str">
        <f t="shared" si="134"/>
        <v>00</v>
      </c>
      <c r="AR39" s="16" t="str">
        <f t="shared" si="135"/>
        <v>00</v>
      </c>
      <c r="AS39" s="16" t="str">
        <f t="shared" si="136"/>
        <v>20</v>
      </c>
      <c r="AT39" s="16"/>
      <c r="AU39" s="16"/>
      <c r="AV39" s="22" t="str">
        <f t="shared" si="137"/>
        <v>00100011</v>
      </c>
      <c r="AW39" s="22" t="str">
        <f t="shared" si="138"/>
        <v>11001011</v>
      </c>
      <c r="AX39" s="22" t="str">
        <f t="shared" si="139"/>
        <v>00100110</v>
      </c>
      <c r="AY39" s="22" t="str">
        <f t="shared" si="140"/>
        <v>00000001</v>
      </c>
      <c r="AZ39" s="22" t="str">
        <f t="shared" si="141"/>
        <v>00000000</v>
      </c>
      <c r="BA39" s="22" t="str">
        <f t="shared" si="142"/>
        <v>00100000</v>
      </c>
      <c r="BB39" s="22" t="str">
        <f t="shared" si="143"/>
        <v>00001000</v>
      </c>
      <c r="BC39" s="22" t="str">
        <f t="shared" si="144"/>
        <v>00000110</v>
      </c>
      <c r="BD39" s="22">
        <f t="shared" si="71"/>
        <v>6</v>
      </c>
      <c r="BE39" s="22" t="str">
        <f t="shared" si="145"/>
        <v>00110000</v>
      </c>
      <c r="BF39" s="31" t="str">
        <f t="shared" si="146"/>
        <v>01000101</v>
      </c>
      <c r="BG39" s="22">
        <f t="shared" ref="BG39" si="158">BIN2DEC(BF39)</f>
        <v>69</v>
      </c>
      <c r="BH39" s="22" t="str">
        <f t="shared" si="148"/>
        <v>01101000</v>
      </c>
      <c r="BI39" s="22">
        <f t="shared" si="44"/>
        <v>104</v>
      </c>
      <c r="BJ39" s="22" t="str">
        <f t="shared" si="149"/>
        <v>00000000</v>
      </c>
      <c r="BK39" s="22"/>
      <c r="BL39" s="22" t="str">
        <f t="shared" si="150"/>
        <v>00000000</v>
      </c>
      <c r="BM39" s="22"/>
      <c r="BN39" s="22" t="str">
        <f t="shared" si="151"/>
        <v>00000000</v>
      </c>
      <c r="BO39" s="22"/>
      <c r="BP39" s="22" t="str">
        <f t="shared" si="152"/>
        <v>00000000</v>
      </c>
      <c r="BQ39" s="22" t="str">
        <f t="shared" si="153"/>
        <v>00000000</v>
      </c>
      <c r="BR39" s="22" t="str">
        <f t="shared" si="154"/>
        <v>00000000</v>
      </c>
      <c r="BS39" s="22" t="str">
        <f t="shared" si="155"/>
        <v>00100000</v>
      </c>
      <c r="BT39" s="16">
        <f t="shared" si="156"/>
        <v>32</v>
      </c>
    </row>
    <row r="40" spans="1:72" x14ac:dyDescent="0.25">
      <c r="A40" s="4" t="s">
        <v>87</v>
      </c>
      <c r="B40" s="23">
        <v>0.72986111111111107</v>
      </c>
      <c r="C40" s="16">
        <v>22</v>
      </c>
      <c r="D40" s="16" t="s">
        <v>1</v>
      </c>
      <c r="E40" t="s">
        <v>91</v>
      </c>
      <c r="F40" t="s">
        <v>102</v>
      </c>
      <c r="G40" t="s">
        <v>88</v>
      </c>
      <c r="H40" s="10" t="str">
        <f t="shared" si="157"/>
        <v>C4</v>
      </c>
      <c r="I40" s="10" t="str">
        <f t="shared" si="157"/>
        <v>D3</v>
      </c>
      <c r="J40" s="10" t="str">
        <f t="shared" si="157"/>
        <v>64</v>
      </c>
      <c r="K40" s="10" t="str">
        <f t="shared" si="157"/>
        <v>80</v>
      </c>
      <c r="L40" s="10" t="str">
        <f t="shared" si="157"/>
        <v>00</v>
      </c>
      <c r="M40" s="24" t="str">
        <f t="shared" si="157"/>
        <v>04</v>
      </c>
      <c r="N40" s="10" t="str">
        <f t="shared" si="157"/>
        <v>10</v>
      </c>
      <c r="O40" s="25" t="str">
        <f t="shared" si="157"/>
        <v>60</v>
      </c>
      <c r="P40" s="10" t="str">
        <f t="shared" si="157"/>
        <v>0C</v>
      </c>
      <c r="Q40" s="10" t="str">
        <f t="shared" si="157"/>
        <v>A2</v>
      </c>
      <c r="R40" s="26" t="str">
        <f t="shared" si="157"/>
        <v>96</v>
      </c>
      <c r="S40" s="10" t="str">
        <f t="shared" si="157"/>
        <v>00</v>
      </c>
      <c r="T40" s="10" t="str">
        <f t="shared" si="157"/>
        <v>00</v>
      </c>
      <c r="U40" s="10" t="str">
        <f t="shared" si="157"/>
        <v>00</v>
      </c>
      <c r="V40" s="10" t="str">
        <f t="shared" si="118"/>
        <v>00</v>
      </c>
      <c r="W40" s="10" t="str">
        <f t="shared" si="118"/>
        <v>00</v>
      </c>
      <c r="X40" s="10" t="str">
        <f t="shared" si="42"/>
        <v>00</v>
      </c>
      <c r="Y40" s="4" t="str">
        <f t="shared" si="42"/>
        <v>84</v>
      </c>
      <c r="Z40" s="4"/>
      <c r="AA40" s="4"/>
      <c r="AB40" s="16" t="str">
        <f t="shared" si="119"/>
        <v>23</v>
      </c>
      <c r="AC40" s="16" t="str">
        <f t="shared" si="120"/>
        <v>CB</v>
      </c>
      <c r="AD40" s="16" t="str">
        <f t="shared" si="121"/>
        <v>26</v>
      </c>
      <c r="AE40" s="16" t="str">
        <f t="shared" si="122"/>
        <v>01</v>
      </c>
      <c r="AF40" s="16" t="str">
        <f t="shared" si="123"/>
        <v>00</v>
      </c>
      <c r="AG40" s="16" t="str">
        <f t="shared" si="124"/>
        <v>20</v>
      </c>
      <c r="AH40" s="16" t="str">
        <f t="shared" si="125"/>
        <v>08</v>
      </c>
      <c r="AI40" s="16" t="str">
        <f t="shared" si="126"/>
        <v>06</v>
      </c>
      <c r="AJ40" s="16" t="str">
        <f t="shared" si="127"/>
        <v>30</v>
      </c>
      <c r="AK40" s="31" t="str">
        <f t="shared" si="128"/>
        <v>45</v>
      </c>
      <c r="AL40" s="16" t="str">
        <f t="shared" si="129"/>
        <v>69</v>
      </c>
      <c r="AM40" s="16" t="str">
        <f t="shared" si="130"/>
        <v>00</v>
      </c>
      <c r="AN40" s="16" t="str">
        <f t="shared" si="131"/>
        <v>00</v>
      </c>
      <c r="AO40" s="16" t="str">
        <f t="shared" si="132"/>
        <v>00</v>
      </c>
      <c r="AP40" s="16" t="str">
        <f t="shared" si="133"/>
        <v>00</v>
      </c>
      <c r="AQ40" s="16" t="str">
        <f t="shared" si="134"/>
        <v>00</v>
      </c>
      <c r="AR40" s="16" t="str">
        <f t="shared" si="135"/>
        <v>00</v>
      </c>
      <c r="AS40" s="16" t="str">
        <f t="shared" si="136"/>
        <v>21</v>
      </c>
      <c r="AT40" s="16"/>
      <c r="AU40" s="16"/>
      <c r="AV40" s="22" t="str">
        <f t="shared" si="137"/>
        <v>00100011</v>
      </c>
      <c r="AW40" s="22" t="str">
        <f t="shared" si="138"/>
        <v>11001011</v>
      </c>
      <c r="AX40" s="22" t="str">
        <f t="shared" si="139"/>
        <v>00100110</v>
      </c>
      <c r="AY40" s="22" t="str">
        <f t="shared" si="140"/>
        <v>00000001</v>
      </c>
      <c r="AZ40" s="22" t="str">
        <f t="shared" si="141"/>
        <v>00000000</v>
      </c>
      <c r="BA40" s="22" t="str">
        <f t="shared" si="142"/>
        <v>00100000</v>
      </c>
      <c r="BB40" s="22" t="str">
        <f t="shared" si="143"/>
        <v>00001000</v>
      </c>
      <c r="BC40" s="22" t="str">
        <f t="shared" si="144"/>
        <v>00000110</v>
      </c>
      <c r="BD40" s="22">
        <f t="shared" si="71"/>
        <v>6</v>
      </c>
      <c r="BE40" s="22" t="str">
        <f t="shared" si="145"/>
        <v>00110000</v>
      </c>
      <c r="BF40" s="31" t="str">
        <f t="shared" si="146"/>
        <v>01000101</v>
      </c>
      <c r="BG40" s="22">
        <f t="shared" ref="BG40" si="159">BIN2DEC(BF40)</f>
        <v>69</v>
      </c>
      <c r="BH40" s="22" t="str">
        <f t="shared" si="148"/>
        <v>01101001</v>
      </c>
      <c r="BI40" s="22">
        <f t="shared" si="44"/>
        <v>105</v>
      </c>
      <c r="BJ40" s="22" t="str">
        <f t="shared" si="149"/>
        <v>00000000</v>
      </c>
      <c r="BK40" s="22"/>
      <c r="BL40" s="22" t="str">
        <f t="shared" si="150"/>
        <v>00000000</v>
      </c>
      <c r="BM40" s="22"/>
      <c r="BN40" s="22" t="str">
        <f t="shared" si="151"/>
        <v>00000000</v>
      </c>
      <c r="BO40" s="22"/>
      <c r="BP40" s="22" t="str">
        <f t="shared" si="152"/>
        <v>00000000</v>
      </c>
      <c r="BQ40" s="22" t="str">
        <f t="shared" si="153"/>
        <v>00000000</v>
      </c>
      <c r="BR40" s="22" t="str">
        <f t="shared" si="154"/>
        <v>00000000</v>
      </c>
      <c r="BS40" s="22" t="str">
        <f t="shared" si="155"/>
        <v>00100001</v>
      </c>
      <c r="BT40" s="16">
        <f t="shared" si="156"/>
        <v>33</v>
      </c>
    </row>
    <row r="41" spans="1:72" x14ac:dyDescent="0.25">
      <c r="A41" s="4" t="s">
        <v>87</v>
      </c>
      <c r="B41" s="23">
        <v>0.72916666666666663</v>
      </c>
      <c r="C41" s="16">
        <v>22</v>
      </c>
      <c r="D41" s="16" t="s">
        <v>1</v>
      </c>
      <c r="E41" t="s">
        <v>91</v>
      </c>
      <c r="F41" t="s">
        <v>102</v>
      </c>
      <c r="G41" t="s">
        <v>88</v>
      </c>
      <c r="H41" s="10" t="str">
        <f t="shared" si="157"/>
        <v>C4</v>
      </c>
      <c r="I41" s="10" t="str">
        <f t="shared" si="157"/>
        <v>D3</v>
      </c>
      <c r="J41" s="10" t="str">
        <f t="shared" si="157"/>
        <v>64</v>
      </c>
      <c r="K41" s="10" t="str">
        <f t="shared" si="157"/>
        <v>80</v>
      </c>
      <c r="L41" s="10" t="str">
        <f t="shared" si="157"/>
        <v>00</v>
      </c>
      <c r="M41" s="24" t="str">
        <f t="shared" si="157"/>
        <v>04</v>
      </c>
      <c r="N41" s="10" t="str">
        <f t="shared" si="157"/>
        <v>10</v>
      </c>
      <c r="O41" s="25" t="str">
        <f t="shared" si="157"/>
        <v>60</v>
      </c>
      <c r="P41" s="10" t="str">
        <f t="shared" si="157"/>
        <v>0C</v>
      </c>
      <c r="Q41" s="10" t="str">
        <f t="shared" si="157"/>
        <v>A2</v>
      </c>
      <c r="R41" s="26" t="str">
        <f t="shared" si="157"/>
        <v>96</v>
      </c>
      <c r="S41" s="10" t="str">
        <f t="shared" si="157"/>
        <v>00</v>
      </c>
      <c r="T41" s="10" t="str">
        <f t="shared" si="157"/>
        <v>00</v>
      </c>
      <c r="U41" s="10" t="str">
        <f t="shared" si="157"/>
        <v>00</v>
      </c>
      <c r="V41" s="10" t="str">
        <f t="shared" si="118"/>
        <v>00</v>
      </c>
      <c r="W41" s="10" t="str">
        <f t="shared" si="118"/>
        <v>00</v>
      </c>
      <c r="X41" s="10" t="str">
        <f t="shared" si="42"/>
        <v>00</v>
      </c>
      <c r="Y41" s="4" t="str">
        <f t="shared" si="42"/>
        <v>84</v>
      </c>
      <c r="Z41" s="4"/>
      <c r="AA41" s="4"/>
      <c r="AB41" s="16" t="str">
        <f t="shared" ref="AB41:AB42" si="160">BIN2HEX(ReverseText(HEX2BIN(H41,8)),2)</f>
        <v>23</v>
      </c>
      <c r="AC41" s="16" t="str">
        <f t="shared" ref="AC41:AC42" si="161">BIN2HEX(ReverseText(HEX2BIN(I41,8)),2)</f>
        <v>CB</v>
      </c>
      <c r="AD41" s="16" t="str">
        <f t="shared" ref="AD41:AD42" si="162">BIN2HEX(ReverseText(HEX2BIN(J41,8)),2)</f>
        <v>26</v>
      </c>
      <c r="AE41" s="16" t="str">
        <f t="shared" ref="AE41:AE42" si="163">BIN2HEX(ReverseText(HEX2BIN(K41,8)),2)</f>
        <v>01</v>
      </c>
      <c r="AF41" s="16" t="str">
        <f t="shared" ref="AF41:AF42" si="164">BIN2HEX(ReverseText(HEX2BIN(L41,8)),2)</f>
        <v>00</v>
      </c>
      <c r="AG41" s="16" t="str">
        <f t="shared" ref="AG41:AG42" si="165">BIN2HEX(ReverseText(HEX2BIN(M41,8)),2)</f>
        <v>20</v>
      </c>
      <c r="AH41" s="16" t="str">
        <f t="shared" ref="AH41:AH42" si="166">BIN2HEX(ReverseText(HEX2BIN(N41,8)),2)</f>
        <v>08</v>
      </c>
      <c r="AI41" s="16" t="str">
        <f t="shared" ref="AI41:AI42" si="167">BIN2HEX(ReverseText(HEX2BIN(O41,8)),2)</f>
        <v>06</v>
      </c>
      <c r="AJ41" s="16" t="str">
        <f t="shared" ref="AJ41:AJ42" si="168">BIN2HEX(ReverseText(HEX2BIN(P41,8)),2)</f>
        <v>30</v>
      </c>
      <c r="AK41" s="31" t="str">
        <f t="shared" ref="AK41:AK42" si="169">BIN2HEX(ReverseText(HEX2BIN(Q41,8)),2)</f>
        <v>45</v>
      </c>
      <c r="AL41" s="16" t="str">
        <f t="shared" ref="AL41:AL42" si="170">BIN2HEX(ReverseText(HEX2BIN(R41,8)),2)</f>
        <v>69</v>
      </c>
      <c r="AM41" s="16" t="str">
        <f t="shared" ref="AM41:AM42" si="171">BIN2HEX(ReverseText(HEX2BIN(S41,8)),2)</f>
        <v>00</v>
      </c>
      <c r="AN41" s="16" t="str">
        <f t="shared" ref="AN41:AN42" si="172">BIN2HEX(ReverseText(HEX2BIN(T41,8)),2)</f>
        <v>00</v>
      </c>
      <c r="AO41" s="16" t="str">
        <f t="shared" ref="AO41:AO42" si="173">BIN2HEX(ReverseText(HEX2BIN(U41,8)),2)</f>
        <v>00</v>
      </c>
      <c r="AP41" s="16" t="str">
        <f t="shared" ref="AP41:AP42" si="174">BIN2HEX(ReverseText(HEX2BIN(V41,8)),2)</f>
        <v>00</v>
      </c>
      <c r="AQ41" s="16" t="str">
        <f t="shared" ref="AQ41:AQ42" si="175">BIN2HEX(ReverseText(HEX2BIN(W41,8)),2)</f>
        <v>00</v>
      </c>
      <c r="AR41" s="16" t="str">
        <f t="shared" ref="AR41:AR42" si="176">BIN2HEX(ReverseText(HEX2BIN(X41,8)),2)</f>
        <v>00</v>
      </c>
      <c r="AS41" s="16" t="str">
        <f t="shared" ref="AS41:AS42" si="177">BIN2HEX(ReverseText(HEX2BIN(Y41,8)),2)</f>
        <v>21</v>
      </c>
      <c r="AT41" s="16"/>
      <c r="AU41" s="4"/>
      <c r="AV41" s="22" t="str">
        <f t="shared" ref="AV41:AV47" si="178">HEX2BIN(AB41,8)</f>
        <v>00100011</v>
      </c>
      <c r="AW41" s="22" t="str">
        <f t="shared" ref="AW41:AW47" si="179">HEX2BIN(AC41,8)</f>
        <v>11001011</v>
      </c>
      <c r="AX41" s="22" t="str">
        <f t="shared" ref="AX41:AX47" si="180">HEX2BIN(AD41,8)</f>
        <v>00100110</v>
      </c>
      <c r="AY41" s="22" t="str">
        <f t="shared" ref="AY41:AY47" si="181">HEX2BIN(AE41,8)</f>
        <v>00000001</v>
      </c>
      <c r="AZ41" s="22" t="str">
        <f t="shared" ref="AZ41:AZ47" si="182">HEX2BIN(AF41,8)</f>
        <v>00000000</v>
      </c>
      <c r="BA41" s="22" t="str">
        <f t="shared" ref="BA41:BA47" si="183">HEX2BIN(AG41,8)</f>
        <v>00100000</v>
      </c>
      <c r="BB41" s="22" t="str">
        <f t="shared" ref="BB41:BB47" si="184">HEX2BIN(AH41,8)</f>
        <v>00001000</v>
      </c>
      <c r="BC41" s="22" t="str">
        <f t="shared" ref="BC41:BC47" si="185">HEX2BIN(AI41,8)</f>
        <v>00000110</v>
      </c>
      <c r="BD41" s="22">
        <f t="shared" si="71"/>
        <v>6</v>
      </c>
      <c r="BE41" s="22" t="str">
        <f t="shared" ref="BE41:BE47" si="186">HEX2BIN(AJ41,8)</f>
        <v>00110000</v>
      </c>
      <c r="BF41" s="31" t="str">
        <f t="shared" ref="BF41:BF47" si="187">HEX2BIN(AK41,8)</f>
        <v>01000101</v>
      </c>
      <c r="BG41" s="22">
        <f t="shared" ref="BG41" si="188">BIN2DEC(BF41)</f>
        <v>69</v>
      </c>
      <c r="BH41" s="22" t="str">
        <f t="shared" ref="BH41:BH47" si="189">HEX2BIN(AL41,8)</f>
        <v>01101001</v>
      </c>
      <c r="BI41" s="22">
        <f t="shared" si="44"/>
        <v>105</v>
      </c>
      <c r="BJ41" s="22" t="str">
        <f t="shared" ref="BJ41:BJ47" si="190">HEX2BIN(AM41,8)</f>
        <v>00000000</v>
      </c>
      <c r="BK41" s="22"/>
      <c r="BL41" s="22" t="str">
        <f t="shared" ref="BL41:BL47" si="191">HEX2BIN(AN41,8)</f>
        <v>00000000</v>
      </c>
      <c r="BM41" s="22"/>
      <c r="BN41" s="22" t="str">
        <f t="shared" ref="BN41:BN47" si="192">HEX2BIN(AO41,8)</f>
        <v>00000000</v>
      </c>
      <c r="BO41" s="22"/>
      <c r="BP41" s="22" t="str">
        <f t="shared" ref="BP41:BP47" si="193">HEX2BIN(AP41,8)</f>
        <v>00000000</v>
      </c>
      <c r="BQ41" s="22" t="str">
        <f t="shared" ref="BQ41:BQ47" si="194">HEX2BIN(AQ41,8)</f>
        <v>00000000</v>
      </c>
      <c r="BR41" s="22" t="str">
        <f t="shared" ref="BR41:BR47" si="195">HEX2BIN(AR41,8)</f>
        <v>00000000</v>
      </c>
      <c r="BS41" s="22" t="str">
        <f t="shared" ref="BS41:BS47" si="196">HEX2BIN(AS41,8)</f>
        <v>00100001</v>
      </c>
      <c r="BT41" s="16">
        <f t="shared" si="156"/>
        <v>33</v>
      </c>
    </row>
    <row r="42" spans="1:72" x14ac:dyDescent="0.25">
      <c r="A42" s="4" t="s">
        <v>86</v>
      </c>
      <c r="B42" s="11">
        <v>0.72569444444444453</v>
      </c>
      <c r="C42" s="16">
        <v>22</v>
      </c>
      <c r="D42" s="16" t="s">
        <v>1</v>
      </c>
      <c r="E42" t="s">
        <v>91</v>
      </c>
      <c r="F42" t="s">
        <v>102</v>
      </c>
      <c r="G42" t="s">
        <v>88</v>
      </c>
      <c r="H42" s="10" t="str">
        <f t="shared" si="157"/>
        <v>C4</v>
      </c>
      <c r="I42" s="10" t="str">
        <f t="shared" si="157"/>
        <v>D3</v>
      </c>
      <c r="J42" s="10" t="str">
        <f t="shared" si="157"/>
        <v>64</v>
      </c>
      <c r="K42" s="10" t="str">
        <f t="shared" si="157"/>
        <v>80</v>
      </c>
      <c r="L42" s="10" t="str">
        <f t="shared" si="157"/>
        <v>00</v>
      </c>
      <c r="M42" s="24" t="str">
        <f t="shared" si="157"/>
        <v>04</v>
      </c>
      <c r="N42" s="10" t="str">
        <f t="shared" si="157"/>
        <v>10</v>
      </c>
      <c r="O42" s="25" t="str">
        <f t="shared" si="157"/>
        <v>60</v>
      </c>
      <c r="P42" s="10" t="str">
        <f t="shared" si="157"/>
        <v>0C</v>
      </c>
      <c r="Q42" s="10" t="str">
        <f t="shared" si="157"/>
        <v>A2</v>
      </c>
      <c r="R42" s="26" t="str">
        <f t="shared" si="157"/>
        <v>16</v>
      </c>
      <c r="S42" s="10" t="str">
        <f t="shared" si="157"/>
        <v>00</v>
      </c>
      <c r="T42" s="10" t="str">
        <f t="shared" si="157"/>
        <v>00</v>
      </c>
      <c r="U42" s="10" t="str">
        <f t="shared" si="157"/>
        <v>00</v>
      </c>
      <c r="V42" s="10" t="str">
        <f t="shared" si="118"/>
        <v>00</v>
      </c>
      <c r="W42" s="10" t="str">
        <f t="shared" si="118"/>
        <v>00</v>
      </c>
      <c r="X42" s="10" t="str">
        <f t="shared" si="42"/>
        <v>00</v>
      </c>
      <c r="Y42" s="4" t="str">
        <f t="shared" si="42"/>
        <v>04</v>
      </c>
      <c r="AB42" s="16" t="str">
        <f t="shared" si="160"/>
        <v>23</v>
      </c>
      <c r="AC42" s="16" t="str">
        <f t="shared" si="161"/>
        <v>CB</v>
      </c>
      <c r="AD42" s="16" t="str">
        <f t="shared" si="162"/>
        <v>26</v>
      </c>
      <c r="AE42" s="16" t="str">
        <f t="shared" si="163"/>
        <v>01</v>
      </c>
      <c r="AF42" s="16" t="str">
        <f t="shared" si="164"/>
        <v>00</v>
      </c>
      <c r="AG42" s="16" t="str">
        <f t="shared" si="165"/>
        <v>20</v>
      </c>
      <c r="AH42" s="16" t="str">
        <f t="shared" si="166"/>
        <v>08</v>
      </c>
      <c r="AI42" s="16" t="str">
        <f t="shared" si="167"/>
        <v>06</v>
      </c>
      <c r="AJ42" s="16" t="str">
        <f t="shared" si="168"/>
        <v>30</v>
      </c>
      <c r="AK42" s="31" t="str">
        <f t="shared" si="169"/>
        <v>45</v>
      </c>
      <c r="AL42" s="16" t="str">
        <f t="shared" si="170"/>
        <v>68</v>
      </c>
      <c r="AM42" s="16" t="str">
        <f t="shared" si="171"/>
        <v>00</v>
      </c>
      <c r="AN42" s="16" t="str">
        <f t="shared" si="172"/>
        <v>00</v>
      </c>
      <c r="AO42" s="16" t="str">
        <f t="shared" si="173"/>
        <v>00</v>
      </c>
      <c r="AP42" s="16" t="str">
        <f t="shared" si="174"/>
        <v>00</v>
      </c>
      <c r="AQ42" s="16" t="str">
        <f t="shared" si="175"/>
        <v>00</v>
      </c>
      <c r="AR42" s="16" t="str">
        <f t="shared" si="176"/>
        <v>00</v>
      </c>
      <c r="AS42" s="16" t="str">
        <f t="shared" si="177"/>
        <v>20</v>
      </c>
      <c r="AT42" s="16"/>
      <c r="AV42" s="22" t="str">
        <f t="shared" si="178"/>
        <v>00100011</v>
      </c>
      <c r="AW42" s="22" t="str">
        <f t="shared" si="179"/>
        <v>11001011</v>
      </c>
      <c r="AX42" s="22" t="str">
        <f t="shared" si="180"/>
        <v>00100110</v>
      </c>
      <c r="AY42" s="22" t="str">
        <f t="shared" si="181"/>
        <v>00000001</v>
      </c>
      <c r="AZ42" s="22" t="str">
        <f t="shared" si="182"/>
        <v>00000000</v>
      </c>
      <c r="BA42" s="22" t="str">
        <f t="shared" si="183"/>
        <v>00100000</v>
      </c>
      <c r="BB42" s="22" t="str">
        <f t="shared" si="184"/>
        <v>00001000</v>
      </c>
      <c r="BC42" s="22" t="str">
        <f t="shared" si="185"/>
        <v>00000110</v>
      </c>
      <c r="BD42" s="22">
        <f t="shared" si="71"/>
        <v>6</v>
      </c>
      <c r="BE42" s="22" t="str">
        <f t="shared" si="186"/>
        <v>00110000</v>
      </c>
      <c r="BF42" s="31" t="str">
        <f t="shared" si="187"/>
        <v>01000101</v>
      </c>
      <c r="BG42" s="22">
        <f t="shared" ref="BG42" si="197">BIN2DEC(BF42)</f>
        <v>69</v>
      </c>
      <c r="BH42" s="22" t="str">
        <f t="shared" si="189"/>
        <v>01101000</v>
      </c>
      <c r="BI42" s="22">
        <f t="shared" si="44"/>
        <v>104</v>
      </c>
      <c r="BJ42" s="22" t="str">
        <f t="shared" si="190"/>
        <v>00000000</v>
      </c>
      <c r="BK42" s="22"/>
      <c r="BL42" s="22" t="str">
        <f t="shared" si="191"/>
        <v>00000000</v>
      </c>
      <c r="BM42" s="22"/>
      <c r="BN42" s="22" t="str">
        <f t="shared" si="192"/>
        <v>00000000</v>
      </c>
      <c r="BO42" s="22"/>
      <c r="BP42" s="22" t="str">
        <f t="shared" si="193"/>
        <v>00000000</v>
      </c>
      <c r="BQ42" s="22" t="str">
        <f t="shared" si="194"/>
        <v>00000000</v>
      </c>
      <c r="BR42" s="22" t="str">
        <f t="shared" si="195"/>
        <v>00000000</v>
      </c>
      <c r="BS42" s="22" t="str">
        <f t="shared" si="196"/>
        <v>00100000</v>
      </c>
      <c r="BT42" s="16">
        <f t="shared" si="156"/>
        <v>32</v>
      </c>
    </row>
    <row r="43" spans="1:72" s="13" customFormat="1" x14ac:dyDescent="0.25">
      <c r="A43" s="13" t="s">
        <v>86</v>
      </c>
      <c r="B43" s="29">
        <v>0.72569444444444453</v>
      </c>
      <c r="C43" s="22">
        <v>22</v>
      </c>
      <c r="D43" s="22" t="s">
        <v>1</v>
      </c>
      <c r="E43" s="13" t="s">
        <v>91</v>
      </c>
      <c r="F43" s="13" t="s">
        <v>102</v>
      </c>
      <c r="G43" s="13" t="s">
        <v>88</v>
      </c>
      <c r="H43" s="14" t="str">
        <f t="shared" si="157"/>
        <v>C4</v>
      </c>
      <c r="I43" s="14" t="str">
        <f t="shared" si="157"/>
        <v>D3</v>
      </c>
      <c r="J43" s="14" t="str">
        <f t="shared" si="157"/>
        <v>64</v>
      </c>
      <c r="K43" s="14" t="str">
        <f t="shared" si="157"/>
        <v>80</v>
      </c>
      <c r="L43" s="14" t="str">
        <f t="shared" si="157"/>
        <v>00</v>
      </c>
      <c r="M43" s="14" t="str">
        <f t="shared" si="157"/>
        <v>04</v>
      </c>
      <c r="N43" s="14" t="str">
        <f t="shared" si="157"/>
        <v>10</v>
      </c>
      <c r="O43" s="14" t="str">
        <f t="shared" si="157"/>
        <v>60</v>
      </c>
      <c r="P43" s="14" t="str">
        <f t="shared" si="157"/>
        <v>0C</v>
      </c>
      <c r="Q43" s="14" t="str">
        <f t="shared" si="157"/>
        <v>A2</v>
      </c>
      <c r="R43" s="14" t="str">
        <f t="shared" si="157"/>
        <v>16</v>
      </c>
      <c r="S43" s="14" t="str">
        <f t="shared" si="157"/>
        <v>00</v>
      </c>
      <c r="T43" s="14" t="str">
        <f t="shared" si="157"/>
        <v>00</v>
      </c>
      <c r="U43" s="14" t="str">
        <f t="shared" si="157"/>
        <v>00</v>
      </c>
      <c r="V43" s="14" t="str">
        <f t="shared" si="118"/>
        <v>00</v>
      </c>
      <c r="W43" s="14" t="str">
        <f t="shared" si="118"/>
        <v>00</v>
      </c>
      <c r="X43" s="14" t="str">
        <f t="shared" si="42"/>
        <v>00</v>
      </c>
      <c r="Y43" s="14" t="str">
        <f t="shared" si="42"/>
        <v>04</v>
      </c>
      <c r="AB43" s="22" t="str">
        <f t="shared" ref="AB43" si="198">BIN2HEX(ReverseText(HEX2BIN(H43,8)),2)</f>
        <v>23</v>
      </c>
      <c r="AC43" s="22" t="str">
        <f t="shared" ref="AC43" si="199">BIN2HEX(ReverseText(HEX2BIN(I43,8)),2)</f>
        <v>CB</v>
      </c>
      <c r="AD43" s="22" t="str">
        <f t="shared" ref="AD43" si="200">BIN2HEX(ReverseText(HEX2BIN(J43,8)),2)</f>
        <v>26</v>
      </c>
      <c r="AE43" s="22" t="str">
        <f t="shared" ref="AE43" si="201">BIN2HEX(ReverseText(HEX2BIN(K43,8)),2)</f>
        <v>01</v>
      </c>
      <c r="AF43" s="22" t="str">
        <f t="shared" ref="AF43" si="202">BIN2HEX(ReverseText(HEX2BIN(L43,8)),2)</f>
        <v>00</v>
      </c>
      <c r="AG43" s="22" t="str">
        <f t="shared" ref="AG43" si="203">BIN2HEX(ReverseText(HEX2BIN(M43,8)),2)</f>
        <v>20</v>
      </c>
      <c r="AH43" s="22" t="str">
        <f t="shared" ref="AH43" si="204">BIN2HEX(ReverseText(HEX2BIN(N43,8)),2)</f>
        <v>08</v>
      </c>
      <c r="AI43" s="22" t="str">
        <f t="shared" ref="AI43" si="205">BIN2HEX(ReverseText(HEX2BIN(O43,8)),2)</f>
        <v>06</v>
      </c>
      <c r="AJ43" s="22" t="str">
        <f t="shared" ref="AJ43" si="206">BIN2HEX(ReverseText(HEX2BIN(P43,8)),2)</f>
        <v>30</v>
      </c>
      <c r="AK43" s="31" t="str">
        <f t="shared" ref="AK43" si="207">BIN2HEX(ReverseText(HEX2BIN(Q43,8)),2)</f>
        <v>45</v>
      </c>
      <c r="AL43" s="22" t="str">
        <f t="shared" ref="AL43" si="208">BIN2HEX(ReverseText(HEX2BIN(R43,8)),2)</f>
        <v>68</v>
      </c>
      <c r="AM43" s="22" t="str">
        <f t="shared" ref="AM43" si="209">BIN2HEX(ReverseText(HEX2BIN(S43,8)),2)</f>
        <v>00</v>
      </c>
      <c r="AN43" s="22" t="str">
        <f t="shared" ref="AN43" si="210">BIN2HEX(ReverseText(HEX2BIN(T43,8)),2)</f>
        <v>00</v>
      </c>
      <c r="AO43" s="22" t="str">
        <f t="shared" ref="AO43" si="211">BIN2HEX(ReverseText(HEX2BIN(U43,8)),2)</f>
        <v>00</v>
      </c>
      <c r="AP43" s="22" t="str">
        <f t="shared" ref="AP43" si="212">BIN2HEX(ReverseText(HEX2BIN(V43,8)),2)</f>
        <v>00</v>
      </c>
      <c r="AQ43" s="22" t="str">
        <f t="shared" ref="AQ43" si="213">BIN2HEX(ReverseText(HEX2BIN(W43,8)),2)</f>
        <v>00</v>
      </c>
      <c r="AR43" s="22" t="str">
        <f t="shared" ref="AR43" si="214">BIN2HEX(ReverseText(HEX2BIN(X43,8)),2)</f>
        <v>00</v>
      </c>
      <c r="AS43" s="22" t="str">
        <f t="shared" ref="AS43" si="215">BIN2HEX(ReverseText(HEX2BIN(Y43,8)),2)</f>
        <v>20</v>
      </c>
      <c r="AT43" s="22"/>
      <c r="AV43" s="22" t="str">
        <f t="shared" si="178"/>
        <v>00100011</v>
      </c>
      <c r="AW43" s="22" t="str">
        <f t="shared" si="179"/>
        <v>11001011</v>
      </c>
      <c r="AX43" s="22" t="str">
        <f t="shared" si="180"/>
        <v>00100110</v>
      </c>
      <c r="AY43" s="22" t="str">
        <f t="shared" si="181"/>
        <v>00000001</v>
      </c>
      <c r="AZ43" s="22" t="str">
        <f t="shared" si="182"/>
        <v>00000000</v>
      </c>
      <c r="BA43" s="22" t="str">
        <f t="shared" si="183"/>
        <v>00100000</v>
      </c>
      <c r="BB43" s="22" t="str">
        <f t="shared" si="184"/>
        <v>00001000</v>
      </c>
      <c r="BC43" s="22" t="str">
        <f t="shared" si="185"/>
        <v>00000110</v>
      </c>
      <c r="BD43" s="22">
        <f t="shared" si="71"/>
        <v>6</v>
      </c>
      <c r="BE43" s="22" t="str">
        <f t="shared" si="186"/>
        <v>00110000</v>
      </c>
      <c r="BF43" s="31" t="str">
        <f t="shared" si="187"/>
        <v>01000101</v>
      </c>
      <c r="BG43" s="22">
        <f t="shared" ref="BG43" si="216">BIN2DEC(BF43)</f>
        <v>69</v>
      </c>
      <c r="BH43" s="22" t="str">
        <f t="shared" si="189"/>
        <v>01101000</v>
      </c>
      <c r="BI43" s="22">
        <f t="shared" si="44"/>
        <v>104</v>
      </c>
      <c r="BJ43" s="22" t="str">
        <f t="shared" si="190"/>
        <v>00000000</v>
      </c>
      <c r="BK43" s="22"/>
      <c r="BL43" s="22" t="str">
        <f t="shared" si="191"/>
        <v>00000000</v>
      </c>
      <c r="BM43" s="22"/>
      <c r="BN43" s="22" t="str">
        <f t="shared" si="192"/>
        <v>00000000</v>
      </c>
      <c r="BO43" s="22"/>
      <c r="BP43" s="22" t="str">
        <f t="shared" si="193"/>
        <v>00000000</v>
      </c>
      <c r="BQ43" s="22" t="str">
        <f t="shared" si="194"/>
        <v>00000000</v>
      </c>
      <c r="BR43" s="22" t="str">
        <f t="shared" si="195"/>
        <v>00000000</v>
      </c>
      <c r="BS43" s="22" t="str">
        <f t="shared" si="196"/>
        <v>00100000</v>
      </c>
      <c r="BT43" s="22">
        <f t="shared" si="156"/>
        <v>32</v>
      </c>
    </row>
    <row r="44" spans="1:72" s="13" customFormat="1" x14ac:dyDescent="0.25">
      <c r="A44" s="14" t="s">
        <v>92</v>
      </c>
      <c r="B44" s="29">
        <v>0.72569444444444453</v>
      </c>
      <c r="C44" s="22">
        <v>22</v>
      </c>
      <c r="D44" s="22" t="s">
        <v>1</v>
      </c>
      <c r="E44" s="13" t="s">
        <v>91</v>
      </c>
      <c r="F44" s="13" t="s">
        <v>102</v>
      </c>
      <c r="G44" s="30" t="s">
        <v>93</v>
      </c>
      <c r="H44" s="14" t="str">
        <f t="shared" si="157"/>
        <v>C4</v>
      </c>
      <c r="I44" s="14" t="str">
        <f t="shared" si="157"/>
        <v>D3</v>
      </c>
      <c r="J44" s="14" t="str">
        <f t="shared" si="157"/>
        <v>64</v>
      </c>
      <c r="K44" s="14" t="str">
        <f t="shared" si="157"/>
        <v>80</v>
      </c>
      <c r="L44" s="14" t="str">
        <f t="shared" si="157"/>
        <v>00</v>
      </c>
      <c r="M44" s="14" t="str">
        <f t="shared" si="157"/>
        <v>04</v>
      </c>
      <c r="N44" s="14" t="str">
        <f t="shared" si="157"/>
        <v>10</v>
      </c>
      <c r="O44" s="14" t="str">
        <f t="shared" si="157"/>
        <v>60</v>
      </c>
      <c r="P44" s="14" t="str">
        <f t="shared" si="157"/>
        <v>0C</v>
      </c>
      <c r="Q44" s="14" t="str">
        <f t="shared" si="157"/>
        <v>82</v>
      </c>
      <c r="R44" s="14" t="str">
        <f t="shared" si="157"/>
        <v>16</v>
      </c>
      <c r="S44" s="14" t="str">
        <f t="shared" si="157"/>
        <v>00</v>
      </c>
      <c r="T44" s="14" t="str">
        <f t="shared" si="157"/>
        <v>00</v>
      </c>
      <c r="U44" s="14" t="str">
        <f t="shared" si="157"/>
        <v>00</v>
      </c>
      <c r="V44" s="14" t="str">
        <f t="shared" si="118"/>
        <v>00</v>
      </c>
      <c r="W44" s="14" t="str">
        <f t="shared" si="118"/>
        <v>00</v>
      </c>
      <c r="X44" s="14" t="str">
        <f t="shared" si="42"/>
        <v>00</v>
      </c>
      <c r="Y44" s="14" t="str">
        <f t="shared" si="42"/>
        <v>38</v>
      </c>
      <c r="AB44" s="22" t="str">
        <f t="shared" ref="AB44" si="217">BIN2HEX(ReverseText(HEX2BIN(H44,8)),2)</f>
        <v>23</v>
      </c>
      <c r="AC44" s="22" t="str">
        <f t="shared" ref="AC44" si="218">BIN2HEX(ReverseText(HEX2BIN(I44,8)),2)</f>
        <v>CB</v>
      </c>
      <c r="AD44" s="22" t="str">
        <f t="shared" ref="AD44" si="219">BIN2HEX(ReverseText(HEX2BIN(J44,8)),2)</f>
        <v>26</v>
      </c>
      <c r="AE44" s="22" t="str">
        <f t="shared" ref="AE44" si="220">BIN2HEX(ReverseText(HEX2BIN(K44,8)),2)</f>
        <v>01</v>
      </c>
      <c r="AF44" s="22" t="str">
        <f t="shared" ref="AF44" si="221">BIN2HEX(ReverseText(HEX2BIN(L44,8)),2)</f>
        <v>00</v>
      </c>
      <c r="AG44" s="22" t="str">
        <f t="shared" ref="AG44" si="222">BIN2HEX(ReverseText(HEX2BIN(M44,8)),2)</f>
        <v>20</v>
      </c>
      <c r="AH44" s="22" t="str">
        <f t="shared" ref="AH44" si="223">BIN2HEX(ReverseText(HEX2BIN(N44,8)),2)</f>
        <v>08</v>
      </c>
      <c r="AI44" s="22" t="str">
        <f t="shared" ref="AI44" si="224">BIN2HEX(ReverseText(HEX2BIN(O44,8)),2)</f>
        <v>06</v>
      </c>
      <c r="AJ44" s="22" t="str">
        <f t="shared" ref="AJ44" si="225">BIN2HEX(ReverseText(HEX2BIN(P44,8)),2)</f>
        <v>30</v>
      </c>
      <c r="AK44" s="31" t="str">
        <f t="shared" ref="AK44" si="226">BIN2HEX(ReverseText(HEX2BIN(Q44,8)),2)</f>
        <v>41</v>
      </c>
      <c r="AL44" s="22" t="str">
        <f t="shared" ref="AL44" si="227">BIN2HEX(ReverseText(HEX2BIN(R44,8)),2)</f>
        <v>68</v>
      </c>
      <c r="AM44" s="22" t="str">
        <f t="shared" ref="AM44" si="228">BIN2HEX(ReverseText(HEX2BIN(S44,8)),2)</f>
        <v>00</v>
      </c>
      <c r="AN44" s="22" t="str">
        <f t="shared" ref="AN44" si="229">BIN2HEX(ReverseText(HEX2BIN(T44,8)),2)</f>
        <v>00</v>
      </c>
      <c r="AO44" s="22" t="str">
        <f t="shared" ref="AO44" si="230">BIN2HEX(ReverseText(HEX2BIN(U44,8)),2)</f>
        <v>00</v>
      </c>
      <c r="AP44" s="22" t="str">
        <f t="shared" ref="AP44" si="231">BIN2HEX(ReverseText(HEX2BIN(V44,8)),2)</f>
        <v>00</v>
      </c>
      <c r="AQ44" s="22" t="str">
        <f t="shared" ref="AQ44" si="232">BIN2HEX(ReverseText(HEX2BIN(W44,8)),2)</f>
        <v>00</v>
      </c>
      <c r="AR44" s="22" t="str">
        <f t="shared" ref="AR44" si="233">BIN2HEX(ReverseText(HEX2BIN(X44,8)),2)</f>
        <v>00</v>
      </c>
      <c r="AS44" s="22" t="str">
        <f t="shared" ref="AS44" si="234">BIN2HEX(ReverseText(HEX2BIN(Y44,8)),2)</f>
        <v>1C</v>
      </c>
      <c r="AT44" s="22"/>
      <c r="AV44" s="22" t="str">
        <f t="shared" si="178"/>
        <v>00100011</v>
      </c>
      <c r="AW44" s="22" t="str">
        <f t="shared" si="179"/>
        <v>11001011</v>
      </c>
      <c r="AX44" s="22" t="str">
        <f t="shared" si="180"/>
        <v>00100110</v>
      </c>
      <c r="AY44" s="22" t="str">
        <f t="shared" si="181"/>
        <v>00000001</v>
      </c>
      <c r="AZ44" s="22" t="str">
        <f t="shared" si="182"/>
        <v>00000000</v>
      </c>
      <c r="BA44" s="22" t="str">
        <f t="shared" si="183"/>
        <v>00100000</v>
      </c>
      <c r="BB44" s="22" t="str">
        <f t="shared" si="184"/>
        <v>00001000</v>
      </c>
      <c r="BC44" s="22" t="str">
        <f t="shared" si="185"/>
        <v>00000110</v>
      </c>
      <c r="BD44" s="22">
        <f t="shared" si="71"/>
        <v>6</v>
      </c>
      <c r="BE44" s="22" t="str">
        <f t="shared" si="186"/>
        <v>00110000</v>
      </c>
      <c r="BF44" s="31" t="str">
        <f t="shared" si="187"/>
        <v>01000001</v>
      </c>
      <c r="BG44" s="22">
        <f t="shared" ref="BG44" si="235">BIN2DEC(BF44)</f>
        <v>65</v>
      </c>
      <c r="BH44" s="22" t="str">
        <f t="shared" si="189"/>
        <v>01101000</v>
      </c>
      <c r="BI44" s="22">
        <f t="shared" si="44"/>
        <v>104</v>
      </c>
      <c r="BJ44" s="22" t="str">
        <f t="shared" si="190"/>
        <v>00000000</v>
      </c>
      <c r="BK44" s="22"/>
      <c r="BL44" s="22" t="str">
        <f t="shared" si="191"/>
        <v>00000000</v>
      </c>
      <c r="BM44" s="22"/>
      <c r="BN44" s="22" t="str">
        <f t="shared" si="192"/>
        <v>00000000</v>
      </c>
      <c r="BO44" s="22"/>
      <c r="BP44" s="22" t="str">
        <f t="shared" si="193"/>
        <v>00000000</v>
      </c>
      <c r="BQ44" s="22" t="str">
        <f t="shared" si="194"/>
        <v>00000000</v>
      </c>
      <c r="BR44" s="22" t="str">
        <f t="shared" si="195"/>
        <v>00000000</v>
      </c>
      <c r="BS44" s="22" t="str">
        <f t="shared" si="196"/>
        <v>00011100</v>
      </c>
      <c r="BT44" s="22">
        <f t="shared" si="156"/>
        <v>28</v>
      </c>
    </row>
    <row r="45" spans="1:72" s="13" customFormat="1" x14ac:dyDescent="0.25">
      <c r="A45" s="14" t="s">
        <v>95</v>
      </c>
      <c r="B45" s="29">
        <v>0.72569444444444453</v>
      </c>
      <c r="C45" s="22">
        <v>22</v>
      </c>
      <c r="D45" s="22" t="s">
        <v>1</v>
      </c>
      <c r="E45" s="13" t="s">
        <v>91</v>
      </c>
      <c r="F45" s="13" t="s">
        <v>102</v>
      </c>
      <c r="G45" s="30" t="s">
        <v>94</v>
      </c>
      <c r="H45" s="14" t="str">
        <f t="shared" si="157"/>
        <v>C4</v>
      </c>
      <c r="I45" s="14" t="str">
        <f t="shared" si="157"/>
        <v>D3</v>
      </c>
      <c r="J45" s="14" t="str">
        <f t="shared" si="157"/>
        <v>64</v>
      </c>
      <c r="K45" s="14" t="str">
        <f t="shared" si="157"/>
        <v>80</v>
      </c>
      <c r="L45" s="14" t="str">
        <f t="shared" si="157"/>
        <v>00</v>
      </c>
      <c r="M45" s="14" t="str">
        <f t="shared" si="157"/>
        <v>04</v>
      </c>
      <c r="N45" s="14" t="str">
        <f t="shared" si="157"/>
        <v>10</v>
      </c>
      <c r="O45" s="14" t="str">
        <f t="shared" si="157"/>
        <v>60</v>
      </c>
      <c r="P45" s="14" t="str">
        <f t="shared" si="157"/>
        <v>0C</v>
      </c>
      <c r="Q45" s="14" t="str">
        <f t="shared" si="157"/>
        <v>42</v>
      </c>
      <c r="R45" s="14" t="str">
        <f t="shared" si="157"/>
        <v>16</v>
      </c>
      <c r="S45" s="14" t="str">
        <f t="shared" si="157"/>
        <v>00</v>
      </c>
      <c r="T45" s="14" t="str">
        <f t="shared" si="157"/>
        <v>00</v>
      </c>
      <c r="U45" s="14" t="str">
        <f t="shared" si="157"/>
        <v>00</v>
      </c>
      <c r="V45" s="14" t="str">
        <f t="shared" si="118"/>
        <v>00</v>
      </c>
      <c r="W45" s="14" t="str">
        <f t="shared" si="118"/>
        <v>00</v>
      </c>
      <c r="X45" s="14" t="str">
        <f t="shared" si="42"/>
        <v>00</v>
      </c>
      <c r="Y45" s="14" t="str">
        <f t="shared" si="42"/>
        <v>B8</v>
      </c>
      <c r="AB45" s="22" t="str">
        <f t="shared" ref="AB45" si="236">BIN2HEX(ReverseText(HEX2BIN(H45,8)),2)</f>
        <v>23</v>
      </c>
      <c r="AC45" s="22" t="str">
        <f t="shared" ref="AC45" si="237">BIN2HEX(ReverseText(HEX2BIN(I45,8)),2)</f>
        <v>CB</v>
      </c>
      <c r="AD45" s="22" t="str">
        <f t="shared" ref="AD45" si="238">BIN2HEX(ReverseText(HEX2BIN(J45,8)),2)</f>
        <v>26</v>
      </c>
      <c r="AE45" s="22" t="str">
        <f t="shared" ref="AE45" si="239">BIN2HEX(ReverseText(HEX2BIN(K45,8)),2)</f>
        <v>01</v>
      </c>
      <c r="AF45" s="22" t="str">
        <f t="shared" ref="AF45" si="240">BIN2HEX(ReverseText(HEX2BIN(L45,8)),2)</f>
        <v>00</v>
      </c>
      <c r="AG45" s="22" t="str">
        <f t="shared" ref="AG45" si="241">BIN2HEX(ReverseText(HEX2BIN(M45,8)),2)</f>
        <v>20</v>
      </c>
      <c r="AH45" s="22" t="str">
        <f t="shared" ref="AH45" si="242">BIN2HEX(ReverseText(HEX2BIN(N45,8)),2)</f>
        <v>08</v>
      </c>
      <c r="AI45" s="22" t="str">
        <f t="shared" ref="AI45" si="243">BIN2HEX(ReverseText(HEX2BIN(O45,8)),2)</f>
        <v>06</v>
      </c>
      <c r="AJ45" s="22" t="str">
        <f t="shared" ref="AJ45" si="244">BIN2HEX(ReverseText(HEX2BIN(P45,8)),2)</f>
        <v>30</v>
      </c>
      <c r="AK45" s="31" t="str">
        <f t="shared" ref="AK45" si="245">BIN2HEX(ReverseText(HEX2BIN(Q45,8)),2)</f>
        <v>42</v>
      </c>
      <c r="AL45" s="22" t="str">
        <f t="shared" ref="AL45" si="246">BIN2HEX(ReverseText(HEX2BIN(R45,8)),2)</f>
        <v>68</v>
      </c>
      <c r="AM45" s="22" t="str">
        <f t="shared" ref="AM45" si="247">BIN2HEX(ReverseText(HEX2BIN(S45,8)),2)</f>
        <v>00</v>
      </c>
      <c r="AN45" s="22" t="str">
        <f t="shared" ref="AN45" si="248">BIN2HEX(ReverseText(HEX2BIN(T45,8)),2)</f>
        <v>00</v>
      </c>
      <c r="AO45" s="22" t="str">
        <f t="shared" ref="AO45" si="249">BIN2HEX(ReverseText(HEX2BIN(U45,8)),2)</f>
        <v>00</v>
      </c>
      <c r="AP45" s="22" t="str">
        <f t="shared" ref="AP45" si="250">BIN2HEX(ReverseText(HEX2BIN(V45,8)),2)</f>
        <v>00</v>
      </c>
      <c r="AQ45" s="22" t="str">
        <f t="shared" ref="AQ45" si="251">BIN2HEX(ReverseText(HEX2BIN(W45,8)),2)</f>
        <v>00</v>
      </c>
      <c r="AR45" s="22" t="str">
        <f t="shared" ref="AR45" si="252">BIN2HEX(ReverseText(HEX2BIN(X45,8)),2)</f>
        <v>00</v>
      </c>
      <c r="AS45" s="22" t="str">
        <f t="shared" ref="AS45" si="253">BIN2HEX(ReverseText(HEX2BIN(Y45,8)),2)</f>
        <v>1D</v>
      </c>
      <c r="AT45" s="22"/>
      <c r="AV45" s="22" t="str">
        <f t="shared" si="178"/>
        <v>00100011</v>
      </c>
      <c r="AW45" s="22" t="str">
        <f t="shared" si="179"/>
        <v>11001011</v>
      </c>
      <c r="AX45" s="22" t="str">
        <f t="shared" si="180"/>
        <v>00100110</v>
      </c>
      <c r="AY45" s="22" t="str">
        <f t="shared" si="181"/>
        <v>00000001</v>
      </c>
      <c r="AZ45" s="22" t="str">
        <f t="shared" si="182"/>
        <v>00000000</v>
      </c>
      <c r="BA45" s="22" t="str">
        <f t="shared" si="183"/>
        <v>00100000</v>
      </c>
      <c r="BB45" s="22" t="str">
        <f t="shared" si="184"/>
        <v>00001000</v>
      </c>
      <c r="BC45" s="22" t="str">
        <f t="shared" si="185"/>
        <v>00000110</v>
      </c>
      <c r="BD45" s="22">
        <f t="shared" si="71"/>
        <v>6</v>
      </c>
      <c r="BE45" s="22" t="str">
        <f t="shared" si="186"/>
        <v>00110000</v>
      </c>
      <c r="BF45" s="31" t="str">
        <f t="shared" si="187"/>
        <v>01000010</v>
      </c>
      <c r="BG45" s="22">
        <f t="shared" ref="BG45" si="254">BIN2DEC(BF45)</f>
        <v>66</v>
      </c>
      <c r="BH45" s="22" t="str">
        <f t="shared" si="189"/>
        <v>01101000</v>
      </c>
      <c r="BI45" s="22">
        <f t="shared" si="44"/>
        <v>104</v>
      </c>
      <c r="BJ45" s="22" t="str">
        <f t="shared" si="190"/>
        <v>00000000</v>
      </c>
      <c r="BK45" s="22"/>
      <c r="BL45" s="22" t="str">
        <f t="shared" si="191"/>
        <v>00000000</v>
      </c>
      <c r="BM45" s="22"/>
      <c r="BN45" s="22" t="str">
        <f t="shared" si="192"/>
        <v>00000000</v>
      </c>
      <c r="BO45" s="22"/>
      <c r="BP45" s="22" t="str">
        <f t="shared" si="193"/>
        <v>00000000</v>
      </c>
      <c r="BQ45" s="22" t="str">
        <f t="shared" si="194"/>
        <v>00000000</v>
      </c>
      <c r="BR45" s="22" t="str">
        <f t="shared" si="195"/>
        <v>00000000</v>
      </c>
      <c r="BS45" s="22" t="str">
        <f t="shared" si="196"/>
        <v>00011101</v>
      </c>
      <c r="BT45" s="22">
        <f t="shared" si="156"/>
        <v>29</v>
      </c>
    </row>
    <row r="46" spans="1:72" s="13" customFormat="1" x14ac:dyDescent="0.25">
      <c r="A46" s="13" t="s">
        <v>96</v>
      </c>
      <c r="B46" s="29">
        <v>0.72569444444444453</v>
      </c>
      <c r="C46" s="22">
        <v>22</v>
      </c>
      <c r="D46" s="22" t="s">
        <v>1</v>
      </c>
      <c r="E46" s="13" t="s">
        <v>91</v>
      </c>
      <c r="F46" s="13" t="s">
        <v>102</v>
      </c>
      <c r="G46" s="30" t="s">
        <v>97</v>
      </c>
      <c r="H46" s="14" t="str">
        <f t="shared" si="157"/>
        <v>C4</v>
      </c>
      <c r="I46" s="14" t="str">
        <f t="shared" si="157"/>
        <v>D3</v>
      </c>
      <c r="J46" s="14" t="str">
        <f t="shared" si="157"/>
        <v>64</v>
      </c>
      <c r="K46" s="14" t="str">
        <f t="shared" si="157"/>
        <v>80</v>
      </c>
      <c r="L46" s="14" t="str">
        <f t="shared" si="157"/>
        <v>00</v>
      </c>
      <c r="M46" s="14" t="str">
        <f t="shared" si="157"/>
        <v>04</v>
      </c>
      <c r="N46" s="14" t="str">
        <f t="shared" si="157"/>
        <v>10</v>
      </c>
      <c r="O46" s="14" t="str">
        <f t="shared" si="157"/>
        <v>60</v>
      </c>
      <c r="P46" s="14" t="str">
        <f t="shared" si="157"/>
        <v>0C</v>
      </c>
      <c r="Q46" s="14" t="str">
        <f t="shared" si="157"/>
        <v>C2</v>
      </c>
      <c r="R46" s="14" t="str">
        <f t="shared" si="157"/>
        <v>16</v>
      </c>
      <c r="S46" s="14" t="str">
        <f t="shared" si="157"/>
        <v>00</v>
      </c>
      <c r="T46" s="14" t="str">
        <f t="shared" si="157"/>
        <v>00</v>
      </c>
      <c r="U46" s="14" t="str">
        <f t="shared" si="157"/>
        <v>00</v>
      </c>
      <c r="V46" s="14" t="str">
        <f t="shared" si="118"/>
        <v>00</v>
      </c>
      <c r="W46" s="14" t="str">
        <f t="shared" si="118"/>
        <v>00</v>
      </c>
      <c r="X46" s="14" t="str">
        <f t="shared" si="42"/>
        <v>00</v>
      </c>
      <c r="Y46" s="14" t="str">
        <f t="shared" si="42"/>
        <v>78</v>
      </c>
      <c r="AB46" s="22" t="str">
        <f t="shared" ref="AB46:AB47" si="255">BIN2HEX(ReverseText(HEX2BIN(H46,8)),2)</f>
        <v>23</v>
      </c>
      <c r="AC46" s="22" t="str">
        <f t="shared" ref="AC46:AC47" si="256">BIN2HEX(ReverseText(HEX2BIN(I46,8)),2)</f>
        <v>CB</v>
      </c>
      <c r="AD46" s="22" t="str">
        <f t="shared" ref="AD46:AD47" si="257">BIN2HEX(ReverseText(HEX2BIN(J46,8)),2)</f>
        <v>26</v>
      </c>
      <c r="AE46" s="22" t="str">
        <f t="shared" ref="AE46:AE47" si="258">BIN2HEX(ReverseText(HEX2BIN(K46,8)),2)</f>
        <v>01</v>
      </c>
      <c r="AF46" s="22" t="str">
        <f t="shared" ref="AF46:AF47" si="259">BIN2HEX(ReverseText(HEX2BIN(L46,8)),2)</f>
        <v>00</v>
      </c>
      <c r="AG46" s="22" t="str">
        <f t="shared" ref="AG46:AG47" si="260">BIN2HEX(ReverseText(HEX2BIN(M46,8)),2)</f>
        <v>20</v>
      </c>
      <c r="AH46" s="22" t="str">
        <f t="shared" ref="AH46:AH47" si="261">BIN2HEX(ReverseText(HEX2BIN(N46,8)),2)</f>
        <v>08</v>
      </c>
      <c r="AI46" s="22" t="str">
        <f t="shared" ref="AI46:AI47" si="262">BIN2HEX(ReverseText(HEX2BIN(O46,8)),2)</f>
        <v>06</v>
      </c>
      <c r="AJ46" s="22" t="str">
        <f t="shared" ref="AJ46:AJ47" si="263">BIN2HEX(ReverseText(HEX2BIN(P46,8)),2)</f>
        <v>30</v>
      </c>
      <c r="AK46" s="31" t="str">
        <f t="shared" ref="AK46:AK47" si="264">BIN2HEX(ReverseText(HEX2BIN(Q46,8)),2)</f>
        <v>43</v>
      </c>
      <c r="AL46" s="22" t="str">
        <f t="shared" ref="AL46:AL47" si="265">BIN2HEX(ReverseText(HEX2BIN(R46,8)),2)</f>
        <v>68</v>
      </c>
      <c r="AM46" s="22" t="str">
        <f t="shared" ref="AM46:AM47" si="266">BIN2HEX(ReverseText(HEX2BIN(S46,8)),2)</f>
        <v>00</v>
      </c>
      <c r="AN46" s="22" t="str">
        <f t="shared" ref="AN46:AN47" si="267">BIN2HEX(ReverseText(HEX2BIN(T46,8)),2)</f>
        <v>00</v>
      </c>
      <c r="AO46" s="22" t="str">
        <f t="shared" ref="AO46:AO47" si="268">BIN2HEX(ReverseText(HEX2BIN(U46,8)),2)</f>
        <v>00</v>
      </c>
      <c r="AP46" s="22" t="str">
        <f t="shared" ref="AP46:AP47" si="269">BIN2HEX(ReverseText(HEX2BIN(V46,8)),2)</f>
        <v>00</v>
      </c>
      <c r="AQ46" s="22" t="str">
        <f t="shared" ref="AQ46:AQ47" si="270">BIN2HEX(ReverseText(HEX2BIN(W46,8)),2)</f>
        <v>00</v>
      </c>
      <c r="AR46" s="22" t="str">
        <f t="shared" ref="AR46:AR47" si="271">BIN2HEX(ReverseText(HEX2BIN(X46,8)),2)</f>
        <v>00</v>
      </c>
      <c r="AS46" s="22" t="str">
        <f t="shared" ref="AS46:AS47" si="272">BIN2HEX(ReverseText(HEX2BIN(Y46,8)),2)</f>
        <v>1E</v>
      </c>
      <c r="AT46" s="22"/>
      <c r="AV46" s="22" t="str">
        <f t="shared" si="178"/>
        <v>00100011</v>
      </c>
      <c r="AW46" s="22" t="str">
        <f t="shared" si="179"/>
        <v>11001011</v>
      </c>
      <c r="AX46" s="22" t="str">
        <f t="shared" si="180"/>
        <v>00100110</v>
      </c>
      <c r="AY46" s="22" t="str">
        <f t="shared" si="181"/>
        <v>00000001</v>
      </c>
      <c r="AZ46" s="22" t="str">
        <f t="shared" si="182"/>
        <v>00000000</v>
      </c>
      <c r="BA46" s="22" t="str">
        <f t="shared" si="183"/>
        <v>00100000</v>
      </c>
      <c r="BB46" s="22" t="str">
        <f t="shared" si="184"/>
        <v>00001000</v>
      </c>
      <c r="BC46" s="22" t="str">
        <f t="shared" si="185"/>
        <v>00000110</v>
      </c>
      <c r="BD46" s="22">
        <f t="shared" si="71"/>
        <v>6</v>
      </c>
      <c r="BE46" s="22" t="str">
        <f t="shared" si="186"/>
        <v>00110000</v>
      </c>
      <c r="BF46" s="31" t="str">
        <f t="shared" si="187"/>
        <v>01000011</v>
      </c>
      <c r="BG46" s="22">
        <f t="shared" ref="BG46" si="273">BIN2DEC(BF46)</f>
        <v>67</v>
      </c>
      <c r="BH46" s="22" t="str">
        <f t="shared" si="189"/>
        <v>01101000</v>
      </c>
      <c r="BI46" s="22">
        <f t="shared" si="44"/>
        <v>104</v>
      </c>
      <c r="BJ46" s="22" t="str">
        <f t="shared" si="190"/>
        <v>00000000</v>
      </c>
      <c r="BK46" s="22"/>
      <c r="BL46" s="22" t="str">
        <f t="shared" si="191"/>
        <v>00000000</v>
      </c>
      <c r="BM46" s="22"/>
      <c r="BN46" s="22" t="str">
        <f t="shared" si="192"/>
        <v>00000000</v>
      </c>
      <c r="BO46" s="22"/>
      <c r="BP46" s="22" t="str">
        <f t="shared" si="193"/>
        <v>00000000</v>
      </c>
      <c r="BQ46" s="22" t="str">
        <f t="shared" si="194"/>
        <v>00000000</v>
      </c>
      <c r="BR46" s="22" t="str">
        <f t="shared" si="195"/>
        <v>00000000</v>
      </c>
      <c r="BS46" s="22" t="str">
        <f t="shared" si="196"/>
        <v>00011110</v>
      </c>
      <c r="BT46" s="22">
        <f t="shared" si="156"/>
        <v>30</v>
      </c>
    </row>
    <row r="47" spans="1:72" s="13" customFormat="1" x14ac:dyDescent="0.25">
      <c r="A47" s="14" t="s">
        <v>98</v>
      </c>
      <c r="B47" s="29">
        <v>0.72569444444444453</v>
      </c>
      <c r="C47" s="22">
        <v>22</v>
      </c>
      <c r="D47" s="22" t="s">
        <v>1</v>
      </c>
      <c r="E47" s="13" t="s">
        <v>91</v>
      </c>
      <c r="F47" s="13" t="s">
        <v>102</v>
      </c>
      <c r="G47" s="30" t="s">
        <v>100</v>
      </c>
      <c r="H47" s="14" t="str">
        <f t="shared" si="157"/>
        <v>C4</v>
      </c>
      <c r="I47" s="14" t="str">
        <f t="shared" si="157"/>
        <v>D3</v>
      </c>
      <c r="J47" s="14" t="str">
        <f t="shared" si="157"/>
        <v>64</v>
      </c>
      <c r="K47" s="14" t="str">
        <f t="shared" si="157"/>
        <v>80</v>
      </c>
      <c r="L47" s="14" t="str">
        <f t="shared" si="157"/>
        <v>00</v>
      </c>
      <c r="M47" s="14" t="str">
        <f t="shared" si="157"/>
        <v>04</v>
      </c>
      <c r="N47" s="14" t="str">
        <f t="shared" si="157"/>
        <v>10</v>
      </c>
      <c r="O47" s="14" t="str">
        <f t="shared" si="157"/>
        <v>60</v>
      </c>
      <c r="P47" s="14" t="str">
        <f t="shared" si="157"/>
        <v>0C</v>
      </c>
      <c r="Q47" s="14" t="str">
        <f t="shared" si="157"/>
        <v>22</v>
      </c>
      <c r="R47" s="14" t="str">
        <f t="shared" si="157"/>
        <v>16</v>
      </c>
      <c r="S47" s="14" t="str">
        <f t="shared" si="157"/>
        <v>00</v>
      </c>
      <c r="T47" s="14" t="str">
        <f t="shared" si="157"/>
        <v>00</v>
      </c>
      <c r="U47" s="14" t="str">
        <f t="shared" si="157"/>
        <v>00</v>
      </c>
      <c r="V47" s="14" t="str">
        <f t="shared" si="118"/>
        <v>00</v>
      </c>
      <c r="W47" s="14" t="str">
        <f t="shared" si="118"/>
        <v>00</v>
      </c>
      <c r="X47" s="14" t="str">
        <f t="shared" si="118"/>
        <v>00</v>
      </c>
      <c r="Y47" s="14" t="str">
        <f t="shared" si="118"/>
        <v>F8</v>
      </c>
      <c r="AB47" s="22" t="str">
        <f t="shared" si="255"/>
        <v>23</v>
      </c>
      <c r="AC47" s="22" t="str">
        <f t="shared" si="256"/>
        <v>CB</v>
      </c>
      <c r="AD47" s="22" t="str">
        <f t="shared" si="257"/>
        <v>26</v>
      </c>
      <c r="AE47" s="22" t="str">
        <f t="shared" si="258"/>
        <v>01</v>
      </c>
      <c r="AF47" s="22" t="str">
        <f t="shared" si="259"/>
        <v>00</v>
      </c>
      <c r="AG47" s="22" t="str">
        <f t="shared" si="260"/>
        <v>20</v>
      </c>
      <c r="AH47" s="22" t="str">
        <f t="shared" si="261"/>
        <v>08</v>
      </c>
      <c r="AI47" s="22" t="str">
        <f t="shared" si="262"/>
        <v>06</v>
      </c>
      <c r="AJ47" s="22" t="str">
        <f t="shared" si="263"/>
        <v>30</v>
      </c>
      <c r="AK47" s="31" t="str">
        <f t="shared" si="264"/>
        <v>44</v>
      </c>
      <c r="AL47" s="22" t="str">
        <f t="shared" si="265"/>
        <v>68</v>
      </c>
      <c r="AM47" s="22" t="str">
        <f t="shared" si="266"/>
        <v>00</v>
      </c>
      <c r="AN47" s="22" t="str">
        <f t="shared" si="267"/>
        <v>00</v>
      </c>
      <c r="AO47" s="22" t="str">
        <f t="shared" si="268"/>
        <v>00</v>
      </c>
      <c r="AP47" s="22" t="str">
        <f t="shared" si="269"/>
        <v>00</v>
      </c>
      <c r="AQ47" s="22" t="str">
        <f t="shared" si="270"/>
        <v>00</v>
      </c>
      <c r="AR47" s="22" t="str">
        <f t="shared" si="271"/>
        <v>00</v>
      </c>
      <c r="AS47" s="22" t="str">
        <f t="shared" si="272"/>
        <v>1F</v>
      </c>
      <c r="AT47" s="22"/>
      <c r="AV47" s="22" t="str">
        <f t="shared" si="178"/>
        <v>00100011</v>
      </c>
      <c r="AW47" s="22" t="str">
        <f t="shared" si="179"/>
        <v>11001011</v>
      </c>
      <c r="AX47" s="22" t="str">
        <f t="shared" si="180"/>
        <v>00100110</v>
      </c>
      <c r="AY47" s="22" t="str">
        <f t="shared" si="181"/>
        <v>00000001</v>
      </c>
      <c r="AZ47" s="22" t="str">
        <f t="shared" si="182"/>
        <v>00000000</v>
      </c>
      <c r="BA47" s="22" t="str">
        <f t="shared" si="183"/>
        <v>00100000</v>
      </c>
      <c r="BB47" s="22" t="str">
        <f t="shared" si="184"/>
        <v>00001000</v>
      </c>
      <c r="BC47" s="22" t="str">
        <f t="shared" si="185"/>
        <v>00000110</v>
      </c>
      <c r="BD47" s="22">
        <f t="shared" si="71"/>
        <v>6</v>
      </c>
      <c r="BE47" s="22" t="str">
        <f t="shared" si="186"/>
        <v>00110000</v>
      </c>
      <c r="BF47" s="31" t="str">
        <f t="shared" si="187"/>
        <v>01000100</v>
      </c>
      <c r="BG47" s="22">
        <f t="shared" ref="BG47" si="274">BIN2DEC(BF47)</f>
        <v>68</v>
      </c>
      <c r="BH47" s="22" t="str">
        <f t="shared" si="189"/>
        <v>01101000</v>
      </c>
      <c r="BI47" s="22">
        <f t="shared" si="44"/>
        <v>104</v>
      </c>
      <c r="BJ47" s="22" t="str">
        <f t="shared" si="190"/>
        <v>00000000</v>
      </c>
      <c r="BK47" s="22"/>
      <c r="BL47" s="22" t="str">
        <f t="shared" si="191"/>
        <v>00000000</v>
      </c>
      <c r="BM47" s="22"/>
      <c r="BN47" s="22" t="str">
        <f t="shared" si="192"/>
        <v>00000000</v>
      </c>
      <c r="BO47" s="22"/>
      <c r="BP47" s="22" t="str">
        <f t="shared" si="193"/>
        <v>00000000</v>
      </c>
      <c r="BQ47" s="22" t="str">
        <f t="shared" si="194"/>
        <v>00000000</v>
      </c>
      <c r="BR47" s="22" t="str">
        <f t="shared" si="195"/>
        <v>00000000</v>
      </c>
      <c r="BS47" s="22" t="str">
        <f t="shared" si="196"/>
        <v>00011111</v>
      </c>
      <c r="BT47" s="22">
        <f t="shared" si="156"/>
        <v>31</v>
      </c>
    </row>
    <row r="48" spans="1:72" s="13" customFormat="1" x14ac:dyDescent="0.25">
      <c r="A48" s="13" t="s">
        <v>101</v>
      </c>
      <c r="B48" s="29">
        <v>0.72569444444444453</v>
      </c>
      <c r="C48" s="22">
        <v>22</v>
      </c>
      <c r="D48" s="22" t="s">
        <v>1</v>
      </c>
      <c r="E48" s="13" t="s">
        <v>91</v>
      </c>
      <c r="F48" s="13" t="s">
        <v>102</v>
      </c>
      <c r="G48" s="13" t="s">
        <v>102</v>
      </c>
      <c r="H48" s="14" t="str">
        <f t="shared" si="157"/>
        <v>C4</v>
      </c>
      <c r="I48" s="14" t="str">
        <f t="shared" si="157"/>
        <v>D3</v>
      </c>
      <c r="J48" s="14" t="str">
        <f t="shared" si="157"/>
        <v>64</v>
      </c>
      <c r="K48" s="14" t="str">
        <f t="shared" si="157"/>
        <v>80</v>
      </c>
      <c r="L48" s="14" t="str">
        <f t="shared" si="157"/>
        <v>00</v>
      </c>
      <c r="M48" s="14" t="str">
        <f t="shared" si="157"/>
        <v>04</v>
      </c>
      <c r="N48" s="14" t="str">
        <f t="shared" si="157"/>
        <v>10</v>
      </c>
      <c r="O48" s="14" t="str">
        <f t="shared" si="157"/>
        <v>60</v>
      </c>
      <c r="P48" s="14" t="str">
        <f t="shared" si="157"/>
        <v>0C</v>
      </c>
      <c r="Q48" s="14" t="str">
        <f t="shared" si="157"/>
        <v>01</v>
      </c>
      <c r="R48" s="14" t="str">
        <f t="shared" si="157"/>
        <v>16</v>
      </c>
      <c r="S48" s="14" t="str">
        <f t="shared" si="157"/>
        <v>00</v>
      </c>
      <c r="T48" s="14" t="str">
        <f t="shared" si="157"/>
        <v>00</v>
      </c>
      <c r="U48" s="14" t="str">
        <f t="shared" si="157"/>
        <v>00</v>
      </c>
      <c r="V48" s="14" t="str">
        <f t="shared" si="118"/>
        <v>00</v>
      </c>
      <c r="W48" s="14" t="str">
        <f t="shared" si="118"/>
        <v>00</v>
      </c>
      <c r="X48" s="14" t="str">
        <f t="shared" si="118"/>
        <v>00</v>
      </c>
      <c r="Y48" s="14" t="str">
        <f t="shared" si="118"/>
        <v>DA</v>
      </c>
      <c r="AB48" s="22" t="str">
        <f t="shared" ref="AB48" si="275">BIN2HEX(ReverseText(HEX2BIN(H48,8)),2)</f>
        <v>23</v>
      </c>
      <c r="AC48" s="22" t="str">
        <f t="shared" ref="AC48" si="276">BIN2HEX(ReverseText(HEX2BIN(I48,8)),2)</f>
        <v>CB</v>
      </c>
      <c r="AD48" s="22" t="str">
        <f t="shared" ref="AD48" si="277">BIN2HEX(ReverseText(HEX2BIN(J48,8)),2)</f>
        <v>26</v>
      </c>
      <c r="AE48" s="22" t="str">
        <f t="shared" ref="AE48" si="278">BIN2HEX(ReverseText(HEX2BIN(K48,8)),2)</f>
        <v>01</v>
      </c>
      <c r="AF48" s="22" t="str">
        <f t="shared" ref="AF48" si="279">BIN2HEX(ReverseText(HEX2BIN(L48,8)),2)</f>
        <v>00</v>
      </c>
      <c r="AG48" s="22" t="str">
        <f t="shared" ref="AG48" si="280">BIN2HEX(ReverseText(HEX2BIN(M48,8)),2)</f>
        <v>20</v>
      </c>
      <c r="AH48" s="22" t="str">
        <f t="shared" ref="AH48" si="281">BIN2HEX(ReverseText(HEX2BIN(N48,8)),2)</f>
        <v>08</v>
      </c>
      <c r="AI48" s="22" t="str">
        <f t="shared" ref="AI48" si="282">BIN2HEX(ReverseText(HEX2BIN(O48,8)),2)</f>
        <v>06</v>
      </c>
      <c r="AJ48" s="22" t="str">
        <f t="shared" ref="AJ48" si="283">BIN2HEX(ReverseText(HEX2BIN(P48,8)),2)</f>
        <v>30</v>
      </c>
      <c r="AK48" s="31" t="str">
        <f t="shared" ref="AK48" si="284">BIN2HEX(ReverseText(HEX2BIN(Q48,8)),2)</f>
        <v>80</v>
      </c>
      <c r="AL48" s="22" t="str">
        <f t="shared" ref="AL48" si="285">BIN2HEX(ReverseText(HEX2BIN(R48,8)),2)</f>
        <v>68</v>
      </c>
      <c r="AM48" s="22" t="str">
        <f t="shared" ref="AM48" si="286">BIN2HEX(ReverseText(HEX2BIN(S48,8)),2)</f>
        <v>00</v>
      </c>
      <c r="AN48" s="22" t="str">
        <f t="shared" ref="AN48" si="287">BIN2HEX(ReverseText(HEX2BIN(T48,8)),2)</f>
        <v>00</v>
      </c>
      <c r="AO48" s="22" t="str">
        <f t="shared" ref="AO48" si="288">BIN2HEX(ReverseText(HEX2BIN(U48,8)),2)</f>
        <v>00</v>
      </c>
      <c r="AP48" s="22" t="str">
        <f t="shared" ref="AP48" si="289">BIN2HEX(ReverseText(HEX2BIN(V48,8)),2)</f>
        <v>00</v>
      </c>
      <c r="AQ48" s="22" t="str">
        <f t="shared" ref="AQ48" si="290">BIN2HEX(ReverseText(HEX2BIN(W48,8)),2)</f>
        <v>00</v>
      </c>
      <c r="AR48" s="22" t="str">
        <f t="shared" ref="AR48" si="291">BIN2HEX(ReverseText(HEX2BIN(X48,8)),2)</f>
        <v>00</v>
      </c>
      <c r="AS48" s="22" t="str">
        <f t="shared" ref="AS48" si="292">BIN2HEX(ReverseText(HEX2BIN(Y48,8)),2)</f>
        <v>5B</v>
      </c>
      <c r="AT48" s="22"/>
      <c r="AV48" s="22" t="str">
        <f t="shared" ref="AV48" si="293">HEX2BIN(AB48,8)</f>
        <v>00100011</v>
      </c>
      <c r="AW48" s="22" t="str">
        <f t="shared" ref="AW48" si="294">HEX2BIN(AC48,8)</f>
        <v>11001011</v>
      </c>
      <c r="AX48" s="22" t="str">
        <f t="shared" ref="AX48" si="295">HEX2BIN(AD48,8)</f>
        <v>00100110</v>
      </c>
      <c r="AY48" s="22" t="str">
        <f t="shared" ref="AY48" si="296">HEX2BIN(AE48,8)</f>
        <v>00000001</v>
      </c>
      <c r="AZ48" s="22" t="str">
        <f t="shared" ref="AZ48" si="297">HEX2BIN(AF48,8)</f>
        <v>00000000</v>
      </c>
      <c r="BA48" s="22" t="str">
        <f t="shared" ref="BA48" si="298">HEX2BIN(AG48,8)</f>
        <v>00100000</v>
      </c>
      <c r="BB48" s="22" t="str">
        <f t="shared" ref="BB48" si="299">HEX2BIN(AH48,8)</f>
        <v>00001000</v>
      </c>
      <c r="BC48" s="22" t="str">
        <f t="shared" ref="BC48" si="300">HEX2BIN(AI48,8)</f>
        <v>00000110</v>
      </c>
      <c r="BD48" s="22">
        <f t="shared" si="71"/>
        <v>6</v>
      </c>
      <c r="BE48" s="22" t="str">
        <f t="shared" ref="BE48" si="301">HEX2BIN(AJ48,8)</f>
        <v>00110000</v>
      </c>
      <c r="BF48" s="31" t="str">
        <f t="shared" ref="BF48" si="302">HEX2BIN(AK48,8)</f>
        <v>10000000</v>
      </c>
      <c r="BG48" s="22">
        <f t="shared" ref="BG48" si="303">BIN2DEC(BF48)</f>
        <v>128</v>
      </c>
      <c r="BH48" s="22" t="str">
        <f t="shared" ref="BH48" si="304">HEX2BIN(AL48,8)</f>
        <v>01101000</v>
      </c>
      <c r="BI48" s="22">
        <f t="shared" si="44"/>
        <v>104</v>
      </c>
      <c r="BJ48" s="22" t="str">
        <f t="shared" ref="BJ48" si="305">HEX2BIN(AM48,8)</f>
        <v>00000000</v>
      </c>
      <c r="BK48" s="22"/>
      <c r="BL48" s="22" t="str">
        <f t="shared" ref="BL48" si="306">HEX2BIN(AN48,8)</f>
        <v>00000000</v>
      </c>
      <c r="BM48" s="22"/>
      <c r="BN48" s="22" t="str">
        <f t="shared" ref="BN48" si="307">HEX2BIN(AO48,8)</f>
        <v>00000000</v>
      </c>
      <c r="BO48" s="22"/>
      <c r="BP48" s="22" t="str">
        <f t="shared" ref="BP48" si="308">HEX2BIN(AP48,8)</f>
        <v>00000000</v>
      </c>
      <c r="BQ48" s="22" t="str">
        <f t="shared" ref="BQ48" si="309">HEX2BIN(AQ48,8)</f>
        <v>00000000</v>
      </c>
      <c r="BR48" s="22" t="str">
        <f t="shared" ref="BR48" si="310">HEX2BIN(AR48,8)</f>
        <v>00000000</v>
      </c>
      <c r="BS48" s="22" t="str">
        <f t="shared" ref="BS48" si="311">HEX2BIN(AS48,8)</f>
        <v>01011011</v>
      </c>
      <c r="BT48" s="22">
        <f t="shared" si="156"/>
        <v>91</v>
      </c>
    </row>
    <row r="49" spans="1:72" s="13" customFormat="1" x14ac:dyDescent="0.25">
      <c r="A49" s="14" t="s">
        <v>86</v>
      </c>
      <c r="B49" s="29">
        <v>0.72569444444444453</v>
      </c>
      <c r="C49" s="22">
        <v>22</v>
      </c>
      <c r="D49" s="22" t="s">
        <v>1</v>
      </c>
      <c r="E49" s="13" t="s">
        <v>91</v>
      </c>
      <c r="F49" s="13" t="s">
        <v>102</v>
      </c>
      <c r="G49" s="13" t="s">
        <v>99</v>
      </c>
      <c r="H49" s="14" t="str">
        <f>RIGHT(LEFT($A49,2*H$6),2)</f>
        <v>C4</v>
      </c>
      <c r="I49" s="14" t="str">
        <f>RIGHT(LEFT($A49,2*I$6),2)</f>
        <v>D3</v>
      </c>
      <c r="J49" s="14" t="str">
        <f>RIGHT(LEFT($A49,2*J$6),2)</f>
        <v>64</v>
      </c>
      <c r="K49" s="14" t="str">
        <f>RIGHT(LEFT($A49,2*K$6),2)</f>
        <v>80</v>
      </c>
      <c r="L49" s="14" t="str">
        <f>RIGHT(LEFT($A49,2*L$6),2)</f>
        <v>00</v>
      </c>
      <c r="M49" s="14" t="str">
        <f>RIGHT(LEFT($A49,2*M$6),2)</f>
        <v>04</v>
      </c>
      <c r="N49" s="14" t="str">
        <f>RIGHT(LEFT($A49,2*N$6),2)</f>
        <v>10</v>
      </c>
      <c r="O49" s="14" t="str">
        <f>RIGHT(LEFT($A49,2*O$6),2)</f>
        <v>60</v>
      </c>
      <c r="P49" s="14" t="str">
        <f>RIGHT(LEFT($A49,2*P$6),2)</f>
        <v>0C</v>
      </c>
      <c r="Q49" s="14" t="str">
        <f>RIGHT(LEFT($A49,2*Q$6),2)</f>
        <v>A2</v>
      </c>
      <c r="R49" s="14" t="str">
        <f>RIGHT(LEFT($A49,2*R$6),2)</f>
        <v>16</v>
      </c>
      <c r="S49" s="14" t="str">
        <f>RIGHT(LEFT($A49,2*S$6),2)</f>
        <v>00</v>
      </c>
      <c r="T49" s="14" t="str">
        <f>RIGHT(LEFT($A49,2*T$6),2)</f>
        <v>00</v>
      </c>
      <c r="U49" s="14" t="str">
        <f>RIGHT(LEFT($A49,2*U$6),2)</f>
        <v>00</v>
      </c>
      <c r="V49" s="14" t="str">
        <f>RIGHT(LEFT($A49,2*V$6),2)</f>
        <v>00</v>
      </c>
      <c r="W49" s="14" t="str">
        <f>RIGHT(LEFT($A49,2*W$6),2)</f>
        <v>00</v>
      </c>
      <c r="X49" s="14" t="str">
        <f>RIGHT(LEFT($A49,2*X$6),2)</f>
        <v>00</v>
      </c>
      <c r="Y49" s="14" t="str">
        <f>RIGHT(LEFT($A49,2*Y$6),2)</f>
        <v>04</v>
      </c>
      <c r="AB49" s="22" t="str">
        <f>BIN2HEX(ReverseText(HEX2BIN(H49,8)),2)</f>
        <v>23</v>
      </c>
      <c r="AC49" s="22" t="str">
        <f>BIN2HEX(ReverseText(HEX2BIN(I49,8)),2)</f>
        <v>CB</v>
      </c>
      <c r="AD49" s="22" t="str">
        <f>BIN2HEX(ReverseText(HEX2BIN(J49,8)),2)</f>
        <v>26</v>
      </c>
      <c r="AE49" s="22" t="str">
        <f>BIN2HEX(ReverseText(HEX2BIN(K49,8)),2)</f>
        <v>01</v>
      </c>
      <c r="AF49" s="22" t="str">
        <f>BIN2HEX(ReverseText(HEX2BIN(L49,8)),2)</f>
        <v>00</v>
      </c>
      <c r="AG49" s="22" t="str">
        <f>BIN2HEX(ReverseText(HEX2BIN(M49,8)),2)</f>
        <v>20</v>
      </c>
      <c r="AH49" s="22" t="str">
        <f>BIN2HEX(ReverseText(HEX2BIN(N49,8)),2)</f>
        <v>08</v>
      </c>
      <c r="AI49" s="22" t="str">
        <f>BIN2HEX(ReverseText(HEX2BIN(O49,8)),2)</f>
        <v>06</v>
      </c>
      <c r="AJ49" s="22" t="str">
        <f>BIN2HEX(ReverseText(HEX2BIN(P49,8)),2)</f>
        <v>30</v>
      </c>
      <c r="AK49" s="31" t="str">
        <f>BIN2HEX(ReverseText(HEX2BIN(Q49,8)),2)</f>
        <v>45</v>
      </c>
      <c r="AL49" s="22" t="str">
        <f>BIN2HEX(ReverseText(HEX2BIN(R49,8)),2)</f>
        <v>68</v>
      </c>
      <c r="AM49" s="22" t="str">
        <f>BIN2HEX(ReverseText(HEX2BIN(S49,8)),2)</f>
        <v>00</v>
      </c>
      <c r="AN49" s="22" t="str">
        <f>BIN2HEX(ReverseText(HEX2BIN(T49,8)),2)</f>
        <v>00</v>
      </c>
      <c r="AO49" s="22" t="str">
        <f>BIN2HEX(ReverseText(HEX2BIN(U49,8)),2)</f>
        <v>00</v>
      </c>
      <c r="AP49" s="22" t="str">
        <f>BIN2HEX(ReverseText(HEX2BIN(V49,8)),2)</f>
        <v>00</v>
      </c>
      <c r="AQ49" s="22" t="str">
        <f>BIN2HEX(ReverseText(HEX2BIN(W49,8)),2)</f>
        <v>00</v>
      </c>
      <c r="AR49" s="22" t="str">
        <f>BIN2HEX(ReverseText(HEX2BIN(X49,8)),2)</f>
        <v>00</v>
      </c>
      <c r="AS49" s="22" t="str">
        <f>BIN2HEX(ReverseText(HEX2BIN(Y49,8)),2)</f>
        <v>20</v>
      </c>
      <c r="AT49" s="22"/>
      <c r="AV49" s="22" t="str">
        <f>HEX2BIN(AB49,8)</f>
        <v>00100011</v>
      </c>
      <c r="AW49" s="22" t="str">
        <f>HEX2BIN(AC49,8)</f>
        <v>11001011</v>
      </c>
      <c r="AX49" s="22" t="str">
        <f>HEX2BIN(AD49,8)</f>
        <v>00100110</v>
      </c>
      <c r="AY49" s="22" t="str">
        <f>HEX2BIN(AE49,8)</f>
        <v>00000001</v>
      </c>
      <c r="AZ49" s="22" t="str">
        <f>HEX2BIN(AF49,8)</f>
        <v>00000000</v>
      </c>
      <c r="BA49" s="22" t="str">
        <f>HEX2BIN(AG49,8)</f>
        <v>00100000</v>
      </c>
      <c r="BB49" s="22" t="str">
        <f>HEX2BIN(AH49,8)</f>
        <v>00001000</v>
      </c>
      <c r="BC49" s="22" t="str">
        <f>HEX2BIN(AI49,8)</f>
        <v>00000110</v>
      </c>
      <c r="BD49" s="22">
        <f t="shared" si="71"/>
        <v>6</v>
      </c>
      <c r="BE49" s="22" t="str">
        <f>HEX2BIN(AJ49,8)</f>
        <v>00110000</v>
      </c>
      <c r="BF49" s="31" t="str">
        <f>HEX2BIN(AK49,8)</f>
        <v>01000101</v>
      </c>
      <c r="BG49" s="22">
        <f t="shared" ref="BG49:BG79" si="312">BIN2DEC(BF49)</f>
        <v>69</v>
      </c>
      <c r="BH49" s="22" t="str">
        <f>HEX2BIN(AL49,8)</f>
        <v>01101000</v>
      </c>
      <c r="BI49" s="22">
        <f>BIN2DEC(BH49)</f>
        <v>104</v>
      </c>
      <c r="BJ49" s="22" t="str">
        <f>HEX2BIN(AM49,8)</f>
        <v>00000000</v>
      </c>
      <c r="BK49" s="22"/>
      <c r="BL49" s="22" t="str">
        <f>HEX2BIN(AN49,8)</f>
        <v>00000000</v>
      </c>
      <c r="BM49" s="22"/>
      <c r="BN49" s="22" t="str">
        <f>HEX2BIN(AO49,8)</f>
        <v>00000000</v>
      </c>
      <c r="BO49" s="22"/>
      <c r="BP49" s="22" t="str">
        <f>HEX2BIN(AP49,8)</f>
        <v>00000000</v>
      </c>
      <c r="BQ49" s="22" t="str">
        <f>HEX2BIN(AQ49,8)</f>
        <v>00000000</v>
      </c>
      <c r="BR49" s="22" t="str">
        <f>HEX2BIN(AR49,8)</f>
        <v>00000000</v>
      </c>
      <c r="BS49" s="22" t="str">
        <f>HEX2BIN(AS49,8)</f>
        <v>00100000</v>
      </c>
      <c r="BT49" s="22">
        <f>BIN2DEC(BS49)</f>
        <v>32</v>
      </c>
    </row>
    <row r="50" spans="1:72" s="6" customFormat="1" x14ac:dyDescent="0.25">
      <c r="A50" s="6" t="s">
        <v>107</v>
      </c>
      <c r="B50" s="32">
        <v>0.72569444444444453</v>
      </c>
      <c r="C50" s="19">
        <v>22</v>
      </c>
      <c r="D50" s="19" t="s">
        <v>1</v>
      </c>
      <c r="E50" s="6" t="s">
        <v>91</v>
      </c>
      <c r="F50" s="6" t="s">
        <v>22</v>
      </c>
      <c r="G50" s="6" t="s">
        <v>102</v>
      </c>
      <c r="H50" s="24" t="str">
        <f>RIGHT(LEFT($A50,2*H$6),2)</f>
        <v>C4</v>
      </c>
      <c r="I50" s="24" t="str">
        <f>RIGHT(LEFT($A50,2*I$6),2)</f>
        <v>D3</v>
      </c>
      <c r="J50" s="24" t="str">
        <f>RIGHT(LEFT($A50,2*J$6),2)</f>
        <v>64</v>
      </c>
      <c r="K50" s="24" t="str">
        <f>RIGHT(LEFT($A50,2*K$6),2)</f>
        <v>80</v>
      </c>
      <c r="L50" s="24" t="str">
        <f>RIGHT(LEFT($A50,2*L$6),2)</f>
        <v>00</v>
      </c>
      <c r="M50" s="24" t="str">
        <f>RIGHT(LEFT($A50,2*M$6),2)</f>
        <v>04</v>
      </c>
      <c r="N50" s="24" t="str">
        <f>RIGHT(LEFT($A50,2*N$6),2)</f>
        <v>10</v>
      </c>
      <c r="O50" s="24" t="str">
        <f>RIGHT(LEFT($A50,2*O$6),2)</f>
        <v>60</v>
      </c>
      <c r="P50" s="24" t="str">
        <f>RIGHT(LEFT($A50,2*P$6),2)</f>
        <v>0C</v>
      </c>
      <c r="Q50" s="24" t="str">
        <f>RIGHT(LEFT($A50,2*Q$6),2)</f>
        <v>12</v>
      </c>
      <c r="R50" s="24" t="str">
        <f>RIGHT(LEFT($A50,2*R$6),2)</f>
        <v>16</v>
      </c>
      <c r="S50" s="24" t="str">
        <f>RIGHT(LEFT($A50,2*S$6),2)</f>
        <v>00</v>
      </c>
      <c r="T50" s="24" t="str">
        <f>RIGHT(LEFT($A50,2*T$6),2)</f>
        <v>00</v>
      </c>
      <c r="U50" s="24" t="str">
        <f>RIGHT(LEFT($A50,2*U$6),2)</f>
        <v>00</v>
      </c>
      <c r="V50" s="24" t="str">
        <f>RIGHT(LEFT($A50,2*V$6),2)</f>
        <v>00</v>
      </c>
      <c r="W50" s="24" t="str">
        <f>RIGHT(LEFT($A50,2*W$6),2)</f>
        <v>00</v>
      </c>
      <c r="X50" s="24" t="str">
        <f>RIGHT(LEFT($A50,2*X$6),2)</f>
        <v>00</v>
      </c>
      <c r="Y50" s="24" t="str">
        <f>RIGHT(LEFT($A50,2*Y$6),2)</f>
        <v>C4</v>
      </c>
      <c r="AB50" s="19" t="str">
        <f>BIN2HEX(ReverseText(HEX2BIN(H50,8)),2)</f>
        <v>23</v>
      </c>
      <c r="AC50" s="19" t="str">
        <f>BIN2HEX(ReverseText(HEX2BIN(I50,8)),2)</f>
        <v>CB</v>
      </c>
      <c r="AD50" s="19" t="str">
        <f>BIN2HEX(ReverseText(HEX2BIN(J50,8)),2)</f>
        <v>26</v>
      </c>
      <c r="AE50" s="19" t="str">
        <f>BIN2HEX(ReverseText(HEX2BIN(K50,8)),2)</f>
        <v>01</v>
      </c>
      <c r="AF50" s="19" t="str">
        <f>BIN2HEX(ReverseText(HEX2BIN(L50,8)),2)</f>
        <v>00</v>
      </c>
      <c r="AG50" s="19" t="str">
        <f>BIN2HEX(ReverseText(HEX2BIN(M50,8)),2)</f>
        <v>20</v>
      </c>
      <c r="AH50" s="19" t="str">
        <f>BIN2HEX(ReverseText(HEX2BIN(N50,8)),2)</f>
        <v>08</v>
      </c>
      <c r="AI50" s="19" t="str">
        <f>BIN2HEX(ReverseText(HEX2BIN(O50,8)),2)</f>
        <v>06</v>
      </c>
      <c r="AJ50" s="19" t="str">
        <f>BIN2HEX(ReverseText(HEX2BIN(P50,8)),2)</f>
        <v>30</v>
      </c>
      <c r="AK50" s="31" t="str">
        <f>BIN2HEX(ReverseText(HEX2BIN(Q50,8)),2)</f>
        <v>48</v>
      </c>
      <c r="AL50" s="19" t="str">
        <f>BIN2HEX(ReverseText(HEX2BIN(R50,8)),2)</f>
        <v>68</v>
      </c>
      <c r="AM50" s="19" t="str">
        <f>BIN2HEX(ReverseText(HEX2BIN(S50,8)),2)</f>
        <v>00</v>
      </c>
      <c r="AN50" s="19" t="str">
        <f>BIN2HEX(ReverseText(HEX2BIN(T50,8)),2)</f>
        <v>00</v>
      </c>
      <c r="AO50" s="19" t="str">
        <f>BIN2HEX(ReverseText(HEX2BIN(U50,8)),2)</f>
        <v>00</v>
      </c>
      <c r="AP50" s="19" t="str">
        <f>BIN2HEX(ReverseText(HEX2BIN(V50,8)),2)</f>
        <v>00</v>
      </c>
      <c r="AQ50" s="19" t="str">
        <f>BIN2HEX(ReverseText(HEX2BIN(W50,8)),2)</f>
        <v>00</v>
      </c>
      <c r="AR50" s="19" t="str">
        <f>BIN2HEX(ReverseText(HEX2BIN(X50,8)),2)</f>
        <v>00</v>
      </c>
      <c r="AS50" s="19" t="str">
        <f>BIN2HEX(ReverseText(HEX2BIN(Y50,8)),2)</f>
        <v>23</v>
      </c>
      <c r="AT50" s="19"/>
      <c r="AV50" s="19" t="str">
        <f>HEX2BIN(AB50,8)</f>
        <v>00100011</v>
      </c>
      <c r="AW50" s="19" t="str">
        <f>HEX2BIN(AC50,8)</f>
        <v>11001011</v>
      </c>
      <c r="AX50" s="19" t="str">
        <f>HEX2BIN(AD50,8)</f>
        <v>00100110</v>
      </c>
      <c r="AY50" s="19" t="str">
        <f>HEX2BIN(AE50,8)</f>
        <v>00000001</v>
      </c>
      <c r="AZ50" s="19" t="str">
        <f>HEX2BIN(AF50,8)</f>
        <v>00000000</v>
      </c>
      <c r="BA50" s="19" t="str">
        <f>HEX2BIN(AG50,8)</f>
        <v>00100000</v>
      </c>
      <c r="BB50" s="19" t="str">
        <f>HEX2BIN(AH50,8)</f>
        <v>00001000</v>
      </c>
      <c r="BC50" s="19" t="str">
        <f>HEX2BIN(AI50,8)</f>
        <v>00000110</v>
      </c>
      <c r="BD50" s="19">
        <f t="shared" si="71"/>
        <v>6</v>
      </c>
      <c r="BE50" s="19" t="str">
        <f>HEX2BIN(AJ50,8)</f>
        <v>00110000</v>
      </c>
      <c r="BF50" s="31" t="str">
        <f>HEX2BIN(AK50,8)</f>
        <v>01001000</v>
      </c>
      <c r="BG50" s="19">
        <f t="shared" si="312"/>
        <v>72</v>
      </c>
      <c r="BH50" s="19" t="str">
        <f>HEX2BIN(AL50,8)</f>
        <v>01101000</v>
      </c>
      <c r="BI50" s="19">
        <f>BIN2DEC(BH50)</f>
        <v>104</v>
      </c>
      <c r="BJ50" s="19" t="str">
        <f>HEX2BIN(AM50,8)</f>
        <v>00000000</v>
      </c>
      <c r="BK50" s="19"/>
      <c r="BL50" s="19" t="str">
        <f>HEX2BIN(AN50,8)</f>
        <v>00000000</v>
      </c>
      <c r="BM50" s="19"/>
      <c r="BN50" s="19" t="str">
        <f>HEX2BIN(AO50,8)</f>
        <v>00000000</v>
      </c>
      <c r="BO50" s="19"/>
      <c r="BP50" s="19" t="str">
        <f>HEX2BIN(AP50,8)</f>
        <v>00000000</v>
      </c>
      <c r="BQ50" s="19" t="str">
        <f>HEX2BIN(AQ50,8)</f>
        <v>00000000</v>
      </c>
      <c r="BR50" s="19" t="str">
        <f>HEX2BIN(AR50,8)</f>
        <v>00000000</v>
      </c>
      <c r="BS50" s="19" t="str">
        <f>HEX2BIN(AS50,8)</f>
        <v>00100011</v>
      </c>
      <c r="BT50" s="19">
        <f>BIN2DEC(BS50)</f>
        <v>35</v>
      </c>
    </row>
    <row r="51" spans="1:72" s="6" customFormat="1" x14ac:dyDescent="0.25">
      <c r="A51" s="6" t="s">
        <v>108</v>
      </c>
      <c r="B51" s="32">
        <v>0.72569444444444453</v>
      </c>
      <c r="C51" s="19">
        <v>22</v>
      </c>
      <c r="D51" s="19" t="s">
        <v>1</v>
      </c>
      <c r="E51" s="6" t="s">
        <v>91</v>
      </c>
      <c r="F51" s="6" t="s">
        <v>23</v>
      </c>
      <c r="G51" s="6" t="s">
        <v>102</v>
      </c>
      <c r="H51" s="24" t="str">
        <f>RIGHT(LEFT($A51,2*H$6),2)</f>
        <v>C4</v>
      </c>
      <c r="I51" s="24" t="str">
        <f>RIGHT(LEFT($A51,2*I$6),2)</f>
        <v>D3</v>
      </c>
      <c r="J51" s="24" t="str">
        <f>RIGHT(LEFT($A51,2*J$6),2)</f>
        <v>64</v>
      </c>
      <c r="K51" s="24" t="str">
        <f>RIGHT(LEFT($A51,2*K$6),2)</f>
        <v>80</v>
      </c>
      <c r="L51" s="24" t="str">
        <f>RIGHT(LEFT($A51,2*L$6),2)</f>
        <v>00</v>
      </c>
      <c r="M51" s="24" t="str">
        <f>RIGHT(LEFT($A51,2*M$6),2)</f>
        <v>04</v>
      </c>
      <c r="N51" s="24" t="str">
        <f>RIGHT(LEFT($A51,2*N$6),2)</f>
        <v>10</v>
      </c>
      <c r="O51" s="24" t="str">
        <f>RIGHT(LEFT($A51,2*O$6),2)</f>
        <v>60</v>
      </c>
      <c r="P51" s="24" t="str">
        <f>RIGHT(LEFT($A51,2*P$6),2)</f>
        <v>0C</v>
      </c>
      <c r="Q51" s="24" t="str">
        <f>RIGHT(LEFT($A51,2*Q$6),2)</f>
        <v>0A</v>
      </c>
      <c r="R51" s="24" t="str">
        <f>RIGHT(LEFT($A51,2*R$6),2)</f>
        <v>16</v>
      </c>
      <c r="S51" s="24" t="str">
        <f>RIGHT(LEFT($A51,2*S$6),2)</f>
        <v>00</v>
      </c>
      <c r="T51" s="24" t="str">
        <f>RIGHT(LEFT($A51,2*T$6),2)</f>
        <v>00</v>
      </c>
      <c r="U51" s="24" t="str">
        <f>RIGHT(LEFT($A51,2*U$6),2)</f>
        <v>00</v>
      </c>
      <c r="V51" s="24" t="str">
        <f>RIGHT(LEFT($A51,2*V$6),2)</f>
        <v>00</v>
      </c>
      <c r="W51" s="24" t="str">
        <f>RIGHT(LEFT($A51,2*W$6),2)</f>
        <v>00</v>
      </c>
      <c r="X51" s="24" t="str">
        <f>RIGHT(LEFT($A51,2*X$6),2)</f>
        <v>00</v>
      </c>
      <c r="Y51" s="24" t="str">
        <f>RIGHT(LEFT($A51,2*Y$6),2)</f>
        <v>D4</v>
      </c>
      <c r="AB51" s="19" t="str">
        <f>BIN2HEX(ReverseText(HEX2BIN(H51,8)),2)</f>
        <v>23</v>
      </c>
      <c r="AC51" s="19" t="str">
        <f>BIN2HEX(ReverseText(HEX2BIN(I51,8)),2)</f>
        <v>CB</v>
      </c>
      <c r="AD51" s="19" t="str">
        <f>BIN2HEX(ReverseText(HEX2BIN(J51,8)),2)</f>
        <v>26</v>
      </c>
      <c r="AE51" s="19" t="str">
        <f>BIN2HEX(ReverseText(HEX2BIN(K51,8)),2)</f>
        <v>01</v>
      </c>
      <c r="AF51" s="19" t="str">
        <f>BIN2HEX(ReverseText(HEX2BIN(L51,8)),2)</f>
        <v>00</v>
      </c>
      <c r="AG51" s="19" t="str">
        <f>BIN2HEX(ReverseText(HEX2BIN(M51,8)),2)</f>
        <v>20</v>
      </c>
      <c r="AH51" s="19" t="str">
        <f>BIN2HEX(ReverseText(HEX2BIN(N51,8)),2)</f>
        <v>08</v>
      </c>
      <c r="AI51" s="19" t="str">
        <f>BIN2HEX(ReverseText(HEX2BIN(O51,8)),2)</f>
        <v>06</v>
      </c>
      <c r="AJ51" s="19" t="str">
        <f>BIN2HEX(ReverseText(HEX2BIN(P51,8)),2)</f>
        <v>30</v>
      </c>
      <c r="AK51" s="31" t="str">
        <f>BIN2HEX(ReverseText(HEX2BIN(Q51,8)),2)</f>
        <v>50</v>
      </c>
      <c r="AL51" s="19" t="str">
        <f>BIN2HEX(ReverseText(HEX2BIN(R51,8)),2)</f>
        <v>68</v>
      </c>
      <c r="AM51" s="19" t="str">
        <f>BIN2HEX(ReverseText(HEX2BIN(S51,8)),2)</f>
        <v>00</v>
      </c>
      <c r="AN51" s="19" t="str">
        <f>BIN2HEX(ReverseText(HEX2BIN(T51,8)),2)</f>
        <v>00</v>
      </c>
      <c r="AO51" s="19" t="str">
        <f>BIN2HEX(ReverseText(HEX2BIN(U51,8)),2)</f>
        <v>00</v>
      </c>
      <c r="AP51" s="19" t="str">
        <f>BIN2HEX(ReverseText(HEX2BIN(V51,8)),2)</f>
        <v>00</v>
      </c>
      <c r="AQ51" s="19" t="str">
        <f>BIN2HEX(ReverseText(HEX2BIN(W51,8)),2)</f>
        <v>00</v>
      </c>
      <c r="AR51" s="19" t="str">
        <f>BIN2HEX(ReverseText(HEX2BIN(X51,8)),2)</f>
        <v>00</v>
      </c>
      <c r="AS51" s="19" t="str">
        <f>BIN2HEX(ReverseText(HEX2BIN(Y51,8)),2)</f>
        <v>2B</v>
      </c>
      <c r="AT51" s="19"/>
      <c r="AV51" s="19" t="str">
        <f>HEX2BIN(AB51,8)</f>
        <v>00100011</v>
      </c>
      <c r="AW51" s="19" t="str">
        <f>HEX2BIN(AC51,8)</f>
        <v>11001011</v>
      </c>
      <c r="AX51" s="19" t="str">
        <f>HEX2BIN(AD51,8)</f>
        <v>00100110</v>
      </c>
      <c r="AY51" s="19" t="str">
        <f>HEX2BIN(AE51,8)</f>
        <v>00000001</v>
      </c>
      <c r="AZ51" s="19" t="str">
        <f>HEX2BIN(AF51,8)</f>
        <v>00000000</v>
      </c>
      <c r="BA51" s="19" t="str">
        <f>HEX2BIN(AG51,8)</f>
        <v>00100000</v>
      </c>
      <c r="BB51" s="19" t="str">
        <f>HEX2BIN(AH51,8)</f>
        <v>00001000</v>
      </c>
      <c r="BC51" s="19" t="str">
        <f>HEX2BIN(AI51,8)</f>
        <v>00000110</v>
      </c>
      <c r="BD51" s="19">
        <f t="shared" si="71"/>
        <v>6</v>
      </c>
      <c r="BE51" s="19" t="str">
        <f>HEX2BIN(AJ51,8)</f>
        <v>00110000</v>
      </c>
      <c r="BF51" s="31" t="str">
        <f>HEX2BIN(AK51,8)</f>
        <v>01010000</v>
      </c>
      <c r="BG51" s="19">
        <f t="shared" si="312"/>
        <v>80</v>
      </c>
      <c r="BH51" s="19" t="str">
        <f>HEX2BIN(AL51,8)</f>
        <v>01101000</v>
      </c>
      <c r="BI51" s="19">
        <f>BIN2DEC(BH51)</f>
        <v>104</v>
      </c>
      <c r="BJ51" s="19" t="str">
        <f>HEX2BIN(AM51,8)</f>
        <v>00000000</v>
      </c>
      <c r="BK51" s="19"/>
      <c r="BL51" s="19" t="str">
        <f>HEX2BIN(AN51,8)</f>
        <v>00000000</v>
      </c>
      <c r="BM51" s="19"/>
      <c r="BN51" s="19" t="str">
        <f>HEX2BIN(AO51,8)</f>
        <v>00000000</v>
      </c>
      <c r="BO51" s="19"/>
      <c r="BP51" s="19" t="str">
        <f>HEX2BIN(AP51,8)</f>
        <v>00000000</v>
      </c>
      <c r="BQ51" s="19" t="str">
        <f>HEX2BIN(AQ51,8)</f>
        <v>00000000</v>
      </c>
      <c r="BR51" s="19" t="str">
        <f>HEX2BIN(AR51,8)</f>
        <v>00000000</v>
      </c>
      <c r="BS51" s="19" t="str">
        <f>HEX2BIN(AS51,8)</f>
        <v>00101011</v>
      </c>
      <c r="BT51" s="19">
        <f>BIN2DEC(BS51)</f>
        <v>43</v>
      </c>
    </row>
    <row r="52" spans="1:72" s="6" customFormat="1" x14ac:dyDescent="0.25">
      <c r="A52" s="6" t="s">
        <v>109</v>
      </c>
      <c r="B52" s="32">
        <v>0.72569444444444453</v>
      </c>
      <c r="C52" s="19">
        <v>22</v>
      </c>
      <c r="D52" s="19" t="s">
        <v>1</v>
      </c>
      <c r="E52" s="6" t="s">
        <v>91</v>
      </c>
      <c r="F52" s="6" t="s">
        <v>104</v>
      </c>
      <c r="G52" s="6" t="s">
        <v>102</v>
      </c>
      <c r="H52" s="24" t="str">
        <f>RIGHT(LEFT($A52,2*H$6),2)</f>
        <v>C4</v>
      </c>
      <c r="I52" s="24" t="str">
        <f>RIGHT(LEFT($A52,2*I$6),2)</f>
        <v>D3</v>
      </c>
      <c r="J52" s="24" t="str">
        <f>RIGHT(LEFT($A52,2*J$6),2)</f>
        <v>64</v>
      </c>
      <c r="K52" s="24" t="str">
        <f>RIGHT(LEFT($A52,2*K$6),2)</f>
        <v>80</v>
      </c>
      <c r="L52" s="24" t="str">
        <f>RIGHT(LEFT($A52,2*L$6),2)</f>
        <v>00</v>
      </c>
      <c r="M52" s="24" t="str">
        <f>RIGHT(LEFT($A52,2*M$6),2)</f>
        <v>04</v>
      </c>
      <c r="N52" s="24" t="str">
        <f>RIGHT(LEFT($A52,2*N$6),2)</f>
        <v>10</v>
      </c>
      <c r="O52" s="24" t="str">
        <f>RIGHT(LEFT($A52,2*O$6),2)</f>
        <v>60</v>
      </c>
      <c r="P52" s="24" t="str">
        <f>RIGHT(LEFT($A52,2*P$6),2)</f>
        <v>0C</v>
      </c>
      <c r="Q52" s="24" t="str">
        <f>RIGHT(LEFT($A52,2*Q$6),2)</f>
        <v>1A</v>
      </c>
      <c r="R52" s="24" t="str">
        <f>RIGHT(LEFT($A52,2*R$6),2)</f>
        <v>16</v>
      </c>
      <c r="S52" s="24" t="str">
        <f>RIGHT(LEFT($A52,2*S$6),2)</f>
        <v>00</v>
      </c>
      <c r="T52" s="24" t="str">
        <f>RIGHT(LEFT($A52,2*T$6),2)</f>
        <v>00</v>
      </c>
      <c r="U52" s="24" t="str">
        <f>RIGHT(LEFT($A52,2*U$6),2)</f>
        <v>00</v>
      </c>
      <c r="V52" s="24" t="str">
        <f>RIGHT(LEFT($A52,2*V$6),2)</f>
        <v>00</v>
      </c>
      <c r="W52" s="24" t="str">
        <f>RIGHT(LEFT($A52,2*W$6),2)</f>
        <v>00</v>
      </c>
      <c r="X52" s="24" t="str">
        <f>RIGHT(LEFT($A52,2*X$6),2)</f>
        <v>00</v>
      </c>
      <c r="Y52" s="24" t="str">
        <f>RIGHT(LEFT($A52,2*Y$6),2)</f>
        <v>CC</v>
      </c>
      <c r="AB52" s="19" t="str">
        <f>BIN2HEX(ReverseText(HEX2BIN(H52,8)),2)</f>
        <v>23</v>
      </c>
      <c r="AC52" s="19" t="str">
        <f>BIN2HEX(ReverseText(HEX2BIN(I52,8)),2)</f>
        <v>CB</v>
      </c>
      <c r="AD52" s="19" t="str">
        <f>BIN2HEX(ReverseText(HEX2BIN(J52,8)),2)</f>
        <v>26</v>
      </c>
      <c r="AE52" s="19" t="str">
        <f>BIN2HEX(ReverseText(HEX2BIN(K52,8)),2)</f>
        <v>01</v>
      </c>
      <c r="AF52" s="19" t="str">
        <f>BIN2HEX(ReverseText(HEX2BIN(L52,8)),2)</f>
        <v>00</v>
      </c>
      <c r="AG52" s="19" t="str">
        <f>BIN2HEX(ReverseText(HEX2BIN(M52,8)),2)</f>
        <v>20</v>
      </c>
      <c r="AH52" s="19" t="str">
        <f>BIN2HEX(ReverseText(HEX2BIN(N52,8)),2)</f>
        <v>08</v>
      </c>
      <c r="AI52" s="19" t="str">
        <f>BIN2HEX(ReverseText(HEX2BIN(O52,8)),2)</f>
        <v>06</v>
      </c>
      <c r="AJ52" s="19" t="str">
        <f>BIN2HEX(ReverseText(HEX2BIN(P52,8)),2)</f>
        <v>30</v>
      </c>
      <c r="AK52" s="31" t="str">
        <f>BIN2HEX(ReverseText(HEX2BIN(Q52,8)),2)</f>
        <v>58</v>
      </c>
      <c r="AL52" s="19" t="str">
        <f>BIN2HEX(ReverseText(HEX2BIN(R52,8)),2)</f>
        <v>68</v>
      </c>
      <c r="AM52" s="19" t="str">
        <f>BIN2HEX(ReverseText(HEX2BIN(S52,8)),2)</f>
        <v>00</v>
      </c>
      <c r="AN52" s="19" t="str">
        <f>BIN2HEX(ReverseText(HEX2BIN(T52,8)),2)</f>
        <v>00</v>
      </c>
      <c r="AO52" s="19" t="str">
        <f>BIN2HEX(ReverseText(HEX2BIN(U52,8)),2)</f>
        <v>00</v>
      </c>
      <c r="AP52" s="19" t="str">
        <f>BIN2HEX(ReverseText(HEX2BIN(V52,8)),2)</f>
        <v>00</v>
      </c>
      <c r="AQ52" s="19" t="str">
        <f>BIN2HEX(ReverseText(HEX2BIN(W52,8)),2)</f>
        <v>00</v>
      </c>
      <c r="AR52" s="19" t="str">
        <f>BIN2HEX(ReverseText(HEX2BIN(X52,8)),2)</f>
        <v>00</v>
      </c>
      <c r="AS52" s="19" t="str">
        <f>BIN2HEX(ReverseText(HEX2BIN(Y52,8)),2)</f>
        <v>33</v>
      </c>
      <c r="AT52" s="19"/>
      <c r="AV52" s="19" t="str">
        <f>HEX2BIN(AB52,8)</f>
        <v>00100011</v>
      </c>
      <c r="AW52" s="19" t="str">
        <f>HEX2BIN(AC52,8)</f>
        <v>11001011</v>
      </c>
      <c r="AX52" s="19" t="str">
        <f>HEX2BIN(AD52,8)</f>
        <v>00100110</v>
      </c>
      <c r="AY52" s="19" t="str">
        <f>HEX2BIN(AE52,8)</f>
        <v>00000001</v>
      </c>
      <c r="AZ52" s="19" t="str">
        <f>HEX2BIN(AF52,8)</f>
        <v>00000000</v>
      </c>
      <c r="BA52" s="19" t="str">
        <f>HEX2BIN(AG52,8)</f>
        <v>00100000</v>
      </c>
      <c r="BB52" s="19" t="str">
        <f>HEX2BIN(AH52,8)</f>
        <v>00001000</v>
      </c>
      <c r="BC52" s="19" t="str">
        <f>HEX2BIN(AI52,8)</f>
        <v>00000110</v>
      </c>
      <c r="BD52" s="19">
        <f t="shared" si="71"/>
        <v>6</v>
      </c>
      <c r="BE52" s="19" t="str">
        <f>HEX2BIN(AJ52,8)</f>
        <v>00110000</v>
      </c>
      <c r="BF52" s="31" t="str">
        <f>HEX2BIN(AK52,8)</f>
        <v>01011000</v>
      </c>
      <c r="BG52" s="19">
        <f t="shared" si="312"/>
        <v>88</v>
      </c>
      <c r="BH52" s="19" t="str">
        <f>HEX2BIN(AL52,8)</f>
        <v>01101000</v>
      </c>
      <c r="BI52" s="19">
        <f>BIN2DEC(BH52)</f>
        <v>104</v>
      </c>
      <c r="BJ52" s="19" t="str">
        <f>HEX2BIN(AM52,8)</f>
        <v>00000000</v>
      </c>
      <c r="BK52" s="19"/>
      <c r="BL52" s="19" t="str">
        <f>HEX2BIN(AN52,8)</f>
        <v>00000000</v>
      </c>
      <c r="BM52" s="19"/>
      <c r="BN52" s="19" t="str">
        <f>HEX2BIN(AO52,8)</f>
        <v>00000000</v>
      </c>
      <c r="BO52" s="19"/>
      <c r="BP52" s="19" t="str">
        <f>HEX2BIN(AP52,8)</f>
        <v>00000000</v>
      </c>
      <c r="BQ52" s="19" t="str">
        <f>HEX2BIN(AQ52,8)</f>
        <v>00000000</v>
      </c>
      <c r="BR52" s="19" t="str">
        <f>HEX2BIN(AR52,8)</f>
        <v>00000000</v>
      </c>
      <c r="BS52" s="19" t="str">
        <f>HEX2BIN(AS52,8)</f>
        <v>00110011</v>
      </c>
      <c r="BT52" s="19">
        <f>BIN2DEC(BS52)</f>
        <v>51</v>
      </c>
    </row>
    <row r="53" spans="1:72" s="6" customFormat="1" x14ac:dyDescent="0.25">
      <c r="A53" s="6" t="s">
        <v>110</v>
      </c>
      <c r="B53" s="32">
        <v>0.72569444444444453</v>
      </c>
      <c r="C53" s="19">
        <v>22</v>
      </c>
      <c r="D53" s="19" t="s">
        <v>1</v>
      </c>
      <c r="E53" s="6" t="s">
        <v>91</v>
      </c>
      <c r="F53" s="6" t="s">
        <v>105</v>
      </c>
      <c r="G53" s="6" t="s">
        <v>102</v>
      </c>
      <c r="H53" s="24" t="str">
        <f>RIGHT(LEFT($A53,2*H$6),2)</f>
        <v>C4</v>
      </c>
      <c r="I53" s="24" t="str">
        <f>RIGHT(LEFT($A53,2*I$6),2)</f>
        <v>D3</v>
      </c>
      <c r="J53" s="24" t="str">
        <f>RIGHT(LEFT($A53,2*J$6),2)</f>
        <v>64</v>
      </c>
      <c r="K53" s="24" t="str">
        <f>RIGHT(LEFT($A53,2*K$6),2)</f>
        <v>80</v>
      </c>
      <c r="L53" s="24" t="str">
        <f>RIGHT(LEFT($A53,2*L$6),2)</f>
        <v>00</v>
      </c>
      <c r="M53" s="24" t="str">
        <f>RIGHT(LEFT($A53,2*M$6),2)</f>
        <v>04</v>
      </c>
      <c r="N53" s="24" t="str">
        <f>RIGHT(LEFT($A53,2*N$6),2)</f>
        <v>10</v>
      </c>
      <c r="O53" s="24" t="str">
        <f>RIGHT(LEFT($A53,2*O$6),2)</f>
        <v>60</v>
      </c>
      <c r="P53" s="24" t="str">
        <f>RIGHT(LEFT($A53,2*P$6),2)</f>
        <v>0C</v>
      </c>
      <c r="Q53" s="24" t="str">
        <f>RIGHT(LEFT($A53,2*Q$6),2)</f>
        <v>06</v>
      </c>
      <c r="R53" s="24" t="str">
        <f>RIGHT(LEFT($A53,2*R$6),2)</f>
        <v>16</v>
      </c>
      <c r="S53" s="24" t="str">
        <f>RIGHT(LEFT($A53,2*S$6),2)</f>
        <v>00</v>
      </c>
      <c r="T53" s="24" t="str">
        <f>RIGHT(LEFT($A53,2*T$6),2)</f>
        <v>00</v>
      </c>
      <c r="U53" s="24" t="str">
        <f>RIGHT(LEFT($A53,2*U$6),2)</f>
        <v>00</v>
      </c>
      <c r="V53" s="24" t="str">
        <f>RIGHT(LEFT($A53,2*V$6),2)</f>
        <v>00</v>
      </c>
      <c r="W53" s="24" t="str">
        <f>RIGHT(LEFT($A53,2*W$6),2)</f>
        <v>00</v>
      </c>
      <c r="X53" s="24" t="str">
        <f>RIGHT(LEFT($A53,2*X$6),2)</f>
        <v>00</v>
      </c>
      <c r="Y53" s="24" t="str">
        <f>RIGHT(LEFT($A53,2*Y$6),2)</f>
        <v>DC</v>
      </c>
      <c r="AB53" s="19" t="str">
        <f>BIN2HEX(ReverseText(HEX2BIN(H53,8)),2)</f>
        <v>23</v>
      </c>
      <c r="AC53" s="19" t="str">
        <f>BIN2HEX(ReverseText(HEX2BIN(I53,8)),2)</f>
        <v>CB</v>
      </c>
      <c r="AD53" s="19" t="str">
        <f>BIN2HEX(ReverseText(HEX2BIN(J53,8)),2)</f>
        <v>26</v>
      </c>
      <c r="AE53" s="19" t="str">
        <f>BIN2HEX(ReverseText(HEX2BIN(K53,8)),2)</f>
        <v>01</v>
      </c>
      <c r="AF53" s="19" t="str">
        <f>BIN2HEX(ReverseText(HEX2BIN(L53,8)),2)</f>
        <v>00</v>
      </c>
      <c r="AG53" s="19" t="str">
        <f>BIN2HEX(ReverseText(HEX2BIN(M53,8)),2)</f>
        <v>20</v>
      </c>
      <c r="AH53" s="19" t="str">
        <f>BIN2HEX(ReverseText(HEX2BIN(N53,8)),2)</f>
        <v>08</v>
      </c>
      <c r="AI53" s="19" t="str">
        <f>BIN2HEX(ReverseText(HEX2BIN(O53,8)),2)</f>
        <v>06</v>
      </c>
      <c r="AJ53" s="19" t="str">
        <f>BIN2HEX(ReverseText(HEX2BIN(P53,8)),2)</f>
        <v>30</v>
      </c>
      <c r="AK53" s="31" t="str">
        <f>BIN2HEX(ReverseText(HEX2BIN(Q53,8)),2)</f>
        <v>60</v>
      </c>
      <c r="AL53" s="19" t="str">
        <f>BIN2HEX(ReverseText(HEX2BIN(R53,8)),2)</f>
        <v>68</v>
      </c>
      <c r="AM53" s="19" t="str">
        <f>BIN2HEX(ReverseText(HEX2BIN(S53,8)),2)</f>
        <v>00</v>
      </c>
      <c r="AN53" s="19" t="str">
        <f>BIN2HEX(ReverseText(HEX2BIN(T53,8)),2)</f>
        <v>00</v>
      </c>
      <c r="AO53" s="19" t="str">
        <f>BIN2HEX(ReverseText(HEX2BIN(U53,8)),2)</f>
        <v>00</v>
      </c>
      <c r="AP53" s="19" t="str">
        <f>BIN2HEX(ReverseText(HEX2BIN(V53,8)),2)</f>
        <v>00</v>
      </c>
      <c r="AQ53" s="19" t="str">
        <f>BIN2HEX(ReverseText(HEX2BIN(W53,8)),2)</f>
        <v>00</v>
      </c>
      <c r="AR53" s="19" t="str">
        <f>BIN2HEX(ReverseText(HEX2BIN(X53,8)),2)</f>
        <v>00</v>
      </c>
      <c r="AS53" s="19" t="str">
        <f>BIN2HEX(ReverseText(HEX2BIN(Y53,8)),2)</f>
        <v>3B</v>
      </c>
      <c r="AT53" s="19"/>
      <c r="AV53" s="19" t="str">
        <f>HEX2BIN(AB53,8)</f>
        <v>00100011</v>
      </c>
      <c r="AW53" s="19" t="str">
        <f>HEX2BIN(AC53,8)</f>
        <v>11001011</v>
      </c>
      <c r="AX53" s="19" t="str">
        <f>HEX2BIN(AD53,8)</f>
        <v>00100110</v>
      </c>
      <c r="AY53" s="19" t="str">
        <f>HEX2BIN(AE53,8)</f>
        <v>00000001</v>
      </c>
      <c r="AZ53" s="19" t="str">
        <f>HEX2BIN(AF53,8)</f>
        <v>00000000</v>
      </c>
      <c r="BA53" s="19" t="str">
        <f>HEX2BIN(AG53,8)</f>
        <v>00100000</v>
      </c>
      <c r="BB53" s="19" t="str">
        <f>HEX2BIN(AH53,8)</f>
        <v>00001000</v>
      </c>
      <c r="BC53" s="19" t="str">
        <f>HEX2BIN(AI53,8)</f>
        <v>00000110</v>
      </c>
      <c r="BD53" s="19">
        <f t="shared" si="71"/>
        <v>6</v>
      </c>
      <c r="BE53" s="19" t="str">
        <f>HEX2BIN(AJ53,8)</f>
        <v>00110000</v>
      </c>
      <c r="BF53" s="31" t="str">
        <f>HEX2BIN(AK53,8)</f>
        <v>01100000</v>
      </c>
      <c r="BG53" s="19">
        <f t="shared" si="312"/>
        <v>96</v>
      </c>
      <c r="BH53" s="19" t="str">
        <f>HEX2BIN(AL53,8)</f>
        <v>01101000</v>
      </c>
      <c r="BI53" s="19">
        <f>BIN2DEC(BH53)</f>
        <v>104</v>
      </c>
      <c r="BJ53" s="19" t="str">
        <f>HEX2BIN(AM53,8)</f>
        <v>00000000</v>
      </c>
      <c r="BK53" s="19"/>
      <c r="BL53" s="19" t="str">
        <f>HEX2BIN(AN53,8)</f>
        <v>00000000</v>
      </c>
      <c r="BM53" s="19"/>
      <c r="BN53" s="19" t="str">
        <f>HEX2BIN(AO53,8)</f>
        <v>00000000</v>
      </c>
      <c r="BO53" s="19"/>
      <c r="BP53" s="19" t="str">
        <f>HEX2BIN(AP53,8)</f>
        <v>00000000</v>
      </c>
      <c r="BQ53" s="19" t="str">
        <f>HEX2BIN(AQ53,8)</f>
        <v>00000000</v>
      </c>
      <c r="BR53" s="19" t="str">
        <f>HEX2BIN(AR53,8)</f>
        <v>00000000</v>
      </c>
      <c r="BS53" s="19" t="str">
        <f>HEX2BIN(AS53,8)</f>
        <v>00111011</v>
      </c>
      <c r="BT53" s="19">
        <f>BIN2DEC(BS53)</f>
        <v>59</v>
      </c>
    </row>
    <row r="54" spans="1:72" s="6" customFormat="1" x14ac:dyDescent="0.25">
      <c r="A54" s="6" t="s">
        <v>111</v>
      </c>
      <c r="B54" s="32">
        <v>0.72569444444444453</v>
      </c>
      <c r="C54" s="19">
        <v>22</v>
      </c>
      <c r="D54" s="19" t="s">
        <v>1</v>
      </c>
      <c r="E54" s="6" t="s">
        <v>91</v>
      </c>
      <c r="F54" s="6" t="s">
        <v>112</v>
      </c>
      <c r="G54" s="6" t="s">
        <v>102</v>
      </c>
      <c r="H54" s="24" t="str">
        <f>RIGHT(LEFT($A54,2*H$6),2)</f>
        <v>C4</v>
      </c>
      <c r="I54" s="24" t="str">
        <f>RIGHT(LEFT($A54,2*I$6),2)</f>
        <v>D3</v>
      </c>
      <c r="J54" s="24" t="str">
        <f>RIGHT(LEFT($A54,2*J$6),2)</f>
        <v>64</v>
      </c>
      <c r="K54" s="24" t="str">
        <f>RIGHT(LEFT($A54,2*K$6),2)</f>
        <v>80</v>
      </c>
      <c r="L54" s="24" t="str">
        <f>RIGHT(LEFT($A54,2*L$6),2)</f>
        <v>00</v>
      </c>
      <c r="M54" s="24" t="str">
        <f>RIGHT(LEFT($A54,2*M$6),2)</f>
        <v>04</v>
      </c>
      <c r="N54" s="24" t="str">
        <f>RIGHT(LEFT($A54,2*N$6),2)</f>
        <v>10</v>
      </c>
      <c r="O54" s="24" t="str">
        <f>RIGHT(LEFT($A54,2*O$6),2)</f>
        <v>60</v>
      </c>
      <c r="P54" s="24" t="str">
        <f>RIGHT(LEFT($A54,2*P$6),2)</f>
        <v>0C</v>
      </c>
      <c r="Q54" s="24" t="str">
        <f>RIGHT(LEFT($A54,2*Q$6),2)</f>
        <v>16</v>
      </c>
      <c r="R54" s="24" t="str">
        <f>RIGHT(LEFT($A54,2*R$6),2)</f>
        <v>16</v>
      </c>
      <c r="S54" s="24" t="str">
        <f>RIGHT(LEFT($A54,2*S$6),2)</f>
        <v>00</v>
      </c>
      <c r="T54" s="24" t="str">
        <f>RIGHT(LEFT($A54,2*T$6),2)</f>
        <v>00</v>
      </c>
      <c r="U54" s="24" t="str">
        <f>RIGHT(LEFT($A54,2*U$6),2)</f>
        <v>00</v>
      </c>
      <c r="V54" s="24" t="str">
        <f>RIGHT(LEFT($A54,2*V$6),2)</f>
        <v>00</v>
      </c>
      <c r="W54" s="24" t="str">
        <f>RIGHT(LEFT($A54,2*W$6),2)</f>
        <v>00</v>
      </c>
      <c r="X54" s="24" t="str">
        <f>RIGHT(LEFT($A54,2*X$6),2)</f>
        <v>00</v>
      </c>
      <c r="Y54" s="24" t="str">
        <f>RIGHT(LEFT($A54,2*Y$6),2)</f>
        <v>C2</v>
      </c>
      <c r="AB54" s="19" t="str">
        <f>BIN2HEX(ReverseText(HEX2BIN(H54,8)),2)</f>
        <v>23</v>
      </c>
      <c r="AC54" s="19" t="str">
        <f>BIN2HEX(ReverseText(HEX2BIN(I54,8)),2)</f>
        <v>CB</v>
      </c>
      <c r="AD54" s="19" t="str">
        <f>BIN2HEX(ReverseText(HEX2BIN(J54,8)),2)</f>
        <v>26</v>
      </c>
      <c r="AE54" s="19" t="str">
        <f>BIN2HEX(ReverseText(HEX2BIN(K54,8)),2)</f>
        <v>01</v>
      </c>
      <c r="AF54" s="19" t="str">
        <f>BIN2HEX(ReverseText(HEX2BIN(L54,8)),2)</f>
        <v>00</v>
      </c>
      <c r="AG54" s="19" t="str">
        <f>BIN2HEX(ReverseText(HEX2BIN(M54,8)),2)</f>
        <v>20</v>
      </c>
      <c r="AH54" s="19" t="str">
        <f>BIN2HEX(ReverseText(HEX2BIN(N54,8)),2)</f>
        <v>08</v>
      </c>
      <c r="AI54" s="19" t="str">
        <f>BIN2HEX(ReverseText(HEX2BIN(O54,8)),2)</f>
        <v>06</v>
      </c>
      <c r="AJ54" s="19" t="str">
        <f>BIN2HEX(ReverseText(HEX2BIN(P54,8)),2)</f>
        <v>30</v>
      </c>
      <c r="AK54" s="31" t="str">
        <f>BIN2HEX(ReverseText(HEX2BIN(Q54,8)),2)</f>
        <v>68</v>
      </c>
      <c r="AL54" s="19" t="str">
        <f>BIN2HEX(ReverseText(HEX2BIN(R54,8)),2)</f>
        <v>68</v>
      </c>
      <c r="AM54" s="19" t="str">
        <f>BIN2HEX(ReverseText(HEX2BIN(S54,8)),2)</f>
        <v>00</v>
      </c>
      <c r="AN54" s="19" t="str">
        <f>BIN2HEX(ReverseText(HEX2BIN(T54,8)),2)</f>
        <v>00</v>
      </c>
      <c r="AO54" s="19" t="str">
        <f>BIN2HEX(ReverseText(HEX2BIN(U54,8)),2)</f>
        <v>00</v>
      </c>
      <c r="AP54" s="19" t="str">
        <f>BIN2HEX(ReverseText(HEX2BIN(V54,8)),2)</f>
        <v>00</v>
      </c>
      <c r="AQ54" s="19" t="str">
        <f>BIN2HEX(ReverseText(HEX2BIN(W54,8)),2)</f>
        <v>00</v>
      </c>
      <c r="AR54" s="19" t="str">
        <f>BIN2HEX(ReverseText(HEX2BIN(X54,8)),2)</f>
        <v>00</v>
      </c>
      <c r="AS54" s="19" t="str">
        <f>BIN2HEX(ReverseText(HEX2BIN(Y54,8)),2)</f>
        <v>43</v>
      </c>
      <c r="AT54" s="19"/>
      <c r="AV54" s="19" t="str">
        <f>HEX2BIN(AB54,8)</f>
        <v>00100011</v>
      </c>
      <c r="AW54" s="19" t="str">
        <f>HEX2BIN(AC54,8)</f>
        <v>11001011</v>
      </c>
      <c r="AX54" s="19" t="str">
        <f>HEX2BIN(AD54,8)</f>
        <v>00100110</v>
      </c>
      <c r="AY54" s="19" t="str">
        <f>HEX2BIN(AE54,8)</f>
        <v>00000001</v>
      </c>
      <c r="AZ54" s="19" t="str">
        <f>HEX2BIN(AF54,8)</f>
        <v>00000000</v>
      </c>
      <c r="BA54" s="19" t="str">
        <f>HEX2BIN(AG54,8)</f>
        <v>00100000</v>
      </c>
      <c r="BB54" s="19" t="str">
        <f>HEX2BIN(AH54,8)</f>
        <v>00001000</v>
      </c>
      <c r="BC54" s="19" t="str">
        <f>HEX2BIN(AI54,8)</f>
        <v>00000110</v>
      </c>
      <c r="BD54" s="19">
        <f t="shared" si="71"/>
        <v>6</v>
      </c>
      <c r="BE54" s="19" t="str">
        <f>HEX2BIN(AJ54,8)</f>
        <v>00110000</v>
      </c>
      <c r="BF54" s="31" t="str">
        <f>HEX2BIN(AK54,8)</f>
        <v>01101000</v>
      </c>
      <c r="BG54" s="19">
        <f t="shared" si="312"/>
        <v>104</v>
      </c>
      <c r="BH54" s="19" t="str">
        <f>HEX2BIN(AL54,8)</f>
        <v>01101000</v>
      </c>
      <c r="BI54" s="19">
        <f>BIN2DEC(BH54)</f>
        <v>104</v>
      </c>
      <c r="BJ54" s="19" t="str">
        <f>HEX2BIN(AM54,8)</f>
        <v>00000000</v>
      </c>
      <c r="BK54" s="19"/>
      <c r="BL54" s="19" t="str">
        <f>HEX2BIN(AN54,8)</f>
        <v>00000000</v>
      </c>
      <c r="BM54" s="19"/>
      <c r="BN54" s="19" t="str">
        <f>HEX2BIN(AO54,8)</f>
        <v>00000000</v>
      </c>
      <c r="BO54" s="19"/>
      <c r="BP54" s="19" t="str">
        <f>HEX2BIN(AP54,8)</f>
        <v>00000000</v>
      </c>
      <c r="BQ54" s="19" t="str">
        <f>HEX2BIN(AQ54,8)</f>
        <v>00000000</v>
      </c>
      <c r="BR54" s="19" t="str">
        <f>HEX2BIN(AR54,8)</f>
        <v>00000000</v>
      </c>
      <c r="BS54" s="19" t="str">
        <f>HEX2BIN(AS54,8)</f>
        <v>01000011</v>
      </c>
      <c r="BT54" s="19">
        <f>BIN2DEC(BS54)</f>
        <v>67</v>
      </c>
    </row>
    <row r="55" spans="1:72" s="6" customFormat="1" x14ac:dyDescent="0.25">
      <c r="A55" s="6" t="s">
        <v>113</v>
      </c>
      <c r="B55" s="32">
        <v>0.72569444444444453</v>
      </c>
      <c r="C55" s="19">
        <v>22</v>
      </c>
      <c r="D55" s="19" t="s">
        <v>1</v>
      </c>
      <c r="E55" s="6" t="s">
        <v>91</v>
      </c>
      <c r="F55" s="6" t="s">
        <v>106</v>
      </c>
      <c r="G55" s="6" t="s">
        <v>102</v>
      </c>
      <c r="H55" s="24" t="str">
        <f>RIGHT(LEFT($A55,2*H$6),2)</f>
        <v>C4</v>
      </c>
      <c r="I55" s="24" t="str">
        <f>RIGHT(LEFT($A55,2*I$6),2)</f>
        <v>D3</v>
      </c>
      <c r="J55" s="24" t="str">
        <f>RIGHT(LEFT($A55,2*J$6),2)</f>
        <v>64</v>
      </c>
      <c r="K55" s="24" t="str">
        <f>RIGHT(LEFT($A55,2*K$6),2)</f>
        <v>80</v>
      </c>
      <c r="L55" s="24" t="str">
        <f>RIGHT(LEFT($A55,2*L$6),2)</f>
        <v>00</v>
      </c>
      <c r="M55" s="24" t="str">
        <f>RIGHT(LEFT($A55,2*M$6),2)</f>
        <v>04</v>
      </c>
      <c r="N55" s="24" t="str">
        <f>RIGHT(LEFT($A55,2*N$6),2)</f>
        <v>10</v>
      </c>
      <c r="O55" s="24" t="str">
        <f>RIGHT(LEFT($A55,2*O$6),2)</f>
        <v>60</v>
      </c>
      <c r="P55" s="24" t="str">
        <f>RIGHT(LEFT($A55,2*P$6),2)</f>
        <v>0C</v>
      </c>
      <c r="Q55" s="24" t="str">
        <f>RIGHT(LEFT($A55,2*Q$6),2)</f>
        <v>1E</v>
      </c>
      <c r="R55" s="24" t="str">
        <f>RIGHT(LEFT($A55,2*R$6),2)</f>
        <v>16</v>
      </c>
      <c r="S55" s="24" t="str">
        <f>RIGHT(LEFT($A55,2*S$6),2)</f>
        <v>00</v>
      </c>
      <c r="T55" s="24" t="str">
        <f>RIGHT(LEFT($A55,2*T$6),2)</f>
        <v>00</v>
      </c>
      <c r="U55" s="24" t="str">
        <f>RIGHT(LEFT($A55,2*U$6),2)</f>
        <v>00</v>
      </c>
      <c r="V55" s="24" t="str">
        <f>RIGHT(LEFT($A55,2*V$6),2)</f>
        <v>00</v>
      </c>
      <c r="W55" s="24" t="str">
        <f>RIGHT(LEFT($A55,2*W$6),2)</f>
        <v>00</v>
      </c>
      <c r="X55" s="24" t="str">
        <f>RIGHT(LEFT($A55,2*X$6),2)</f>
        <v>00</v>
      </c>
      <c r="Y55" s="24" t="str">
        <f>RIGHT(LEFT($A55,2*Y$6),2)</f>
        <v>CA</v>
      </c>
      <c r="AB55" s="19" t="str">
        <f>BIN2HEX(ReverseText(HEX2BIN(H55,8)),2)</f>
        <v>23</v>
      </c>
      <c r="AC55" s="19" t="str">
        <f>BIN2HEX(ReverseText(HEX2BIN(I55,8)),2)</f>
        <v>CB</v>
      </c>
      <c r="AD55" s="19" t="str">
        <f>BIN2HEX(ReverseText(HEX2BIN(J55,8)),2)</f>
        <v>26</v>
      </c>
      <c r="AE55" s="19" t="str">
        <f>BIN2HEX(ReverseText(HEX2BIN(K55,8)),2)</f>
        <v>01</v>
      </c>
      <c r="AF55" s="19" t="str">
        <f>BIN2HEX(ReverseText(HEX2BIN(L55,8)),2)</f>
        <v>00</v>
      </c>
      <c r="AG55" s="19" t="str">
        <f>BIN2HEX(ReverseText(HEX2BIN(M55,8)),2)</f>
        <v>20</v>
      </c>
      <c r="AH55" s="19" t="str">
        <f>BIN2HEX(ReverseText(HEX2BIN(N55,8)),2)</f>
        <v>08</v>
      </c>
      <c r="AI55" s="19" t="str">
        <f>BIN2HEX(ReverseText(HEX2BIN(O55,8)),2)</f>
        <v>06</v>
      </c>
      <c r="AJ55" s="19" t="str">
        <f>BIN2HEX(ReverseText(HEX2BIN(P55,8)),2)</f>
        <v>30</v>
      </c>
      <c r="AK55" s="31" t="str">
        <f>BIN2HEX(ReverseText(HEX2BIN(Q55,8)),2)</f>
        <v>78</v>
      </c>
      <c r="AL55" s="19" t="str">
        <f>BIN2HEX(ReverseText(HEX2BIN(R55,8)),2)</f>
        <v>68</v>
      </c>
      <c r="AM55" s="19" t="str">
        <f>BIN2HEX(ReverseText(HEX2BIN(S55,8)),2)</f>
        <v>00</v>
      </c>
      <c r="AN55" s="19" t="str">
        <f>BIN2HEX(ReverseText(HEX2BIN(T55,8)),2)</f>
        <v>00</v>
      </c>
      <c r="AO55" s="19" t="str">
        <f>BIN2HEX(ReverseText(HEX2BIN(U55,8)),2)</f>
        <v>00</v>
      </c>
      <c r="AP55" s="19" t="str">
        <f>BIN2HEX(ReverseText(HEX2BIN(V55,8)),2)</f>
        <v>00</v>
      </c>
      <c r="AQ55" s="19" t="str">
        <f>BIN2HEX(ReverseText(HEX2BIN(W55,8)),2)</f>
        <v>00</v>
      </c>
      <c r="AR55" s="19" t="str">
        <f>BIN2HEX(ReverseText(HEX2BIN(X55,8)),2)</f>
        <v>00</v>
      </c>
      <c r="AS55" s="19" t="str">
        <f>BIN2HEX(ReverseText(HEX2BIN(Y55,8)),2)</f>
        <v>53</v>
      </c>
      <c r="AT55" s="19"/>
      <c r="AV55" s="19" t="str">
        <f>HEX2BIN(AB55,8)</f>
        <v>00100011</v>
      </c>
      <c r="AW55" s="19" t="str">
        <f>HEX2BIN(AC55,8)</f>
        <v>11001011</v>
      </c>
      <c r="AX55" s="19" t="str">
        <f>HEX2BIN(AD55,8)</f>
        <v>00100110</v>
      </c>
      <c r="AY55" s="19" t="str">
        <f>HEX2BIN(AE55,8)</f>
        <v>00000001</v>
      </c>
      <c r="AZ55" s="19" t="str">
        <f>HEX2BIN(AF55,8)</f>
        <v>00000000</v>
      </c>
      <c r="BA55" s="19" t="str">
        <f>HEX2BIN(AG55,8)</f>
        <v>00100000</v>
      </c>
      <c r="BB55" s="19" t="str">
        <f>HEX2BIN(AH55,8)</f>
        <v>00001000</v>
      </c>
      <c r="BC55" s="19" t="str">
        <f>HEX2BIN(AI55,8)</f>
        <v>00000110</v>
      </c>
      <c r="BD55" s="19">
        <f t="shared" si="71"/>
        <v>6</v>
      </c>
      <c r="BE55" s="19" t="str">
        <f>HEX2BIN(AJ55,8)</f>
        <v>00110000</v>
      </c>
      <c r="BF55" s="31" t="str">
        <f>HEX2BIN(AK55,8)</f>
        <v>01111000</v>
      </c>
      <c r="BG55" s="19">
        <f t="shared" si="312"/>
        <v>120</v>
      </c>
      <c r="BH55" s="19" t="str">
        <f>HEX2BIN(AL55,8)</f>
        <v>01101000</v>
      </c>
      <c r="BI55" s="19">
        <f>BIN2DEC(BH55)</f>
        <v>104</v>
      </c>
      <c r="BJ55" s="19" t="str">
        <f>HEX2BIN(AM55,8)</f>
        <v>00000000</v>
      </c>
      <c r="BK55" s="19"/>
      <c r="BL55" s="19" t="str">
        <f>HEX2BIN(AN55,8)</f>
        <v>00000000</v>
      </c>
      <c r="BM55" s="19"/>
      <c r="BN55" s="19" t="str">
        <f>HEX2BIN(AO55,8)</f>
        <v>00000000</v>
      </c>
      <c r="BO55" s="19"/>
      <c r="BP55" s="19" t="str">
        <f>HEX2BIN(AP55,8)</f>
        <v>00000000</v>
      </c>
      <c r="BQ55" s="19" t="str">
        <f>HEX2BIN(AQ55,8)</f>
        <v>00000000</v>
      </c>
      <c r="BR55" s="19" t="str">
        <f>HEX2BIN(AR55,8)</f>
        <v>00000000</v>
      </c>
      <c r="BS55" s="19" t="str">
        <f>HEX2BIN(AS55,8)</f>
        <v>01010011</v>
      </c>
      <c r="BT55" s="19">
        <f>BIN2DEC(BS55)</f>
        <v>83</v>
      </c>
    </row>
    <row r="56" spans="1:72" s="6" customFormat="1" x14ac:dyDescent="0.25">
      <c r="A56" s="6" t="s">
        <v>101</v>
      </c>
      <c r="B56" s="32">
        <v>0.72569444444444453</v>
      </c>
      <c r="C56" s="19">
        <v>22</v>
      </c>
      <c r="D56" s="19" t="s">
        <v>1</v>
      </c>
      <c r="E56" s="6" t="s">
        <v>91</v>
      </c>
      <c r="F56" s="6" t="s">
        <v>102</v>
      </c>
      <c r="G56" s="6" t="s">
        <v>102</v>
      </c>
      <c r="H56" s="24" t="str">
        <f>RIGHT(LEFT($A56,2*H$6),2)</f>
        <v>C4</v>
      </c>
      <c r="I56" s="24" t="str">
        <f>RIGHT(LEFT($A56,2*I$6),2)</f>
        <v>D3</v>
      </c>
      <c r="J56" s="24" t="str">
        <f>RIGHT(LEFT($A56,2*J$6),2)</f>
        <v>64</v>
      </c>
      <c r="K56" s="24" t="str">
        <f>RIGHT(LEFT($A56,2*K$6),2)</f>
        <v>80</v>
      </c>
      <c r="L56" s="24" t="str">
        <f>RIGHT(LEFT($A56,2*L$6),2)</f>
        <v>00</v>
      </c>
      <c r="M56" s="24" t="str">
        <f>RIGHT(LEFT($A56,2*M$6),2)</f>
        <v>04</v>
      </c>
      <c r="N56" s="24" t="str">
        <f>RIGHT(LEFT($A56,2*N$6),2)</f>
        <v>10</v>
      </c>
      <c r="O56" s="24" t="str">
        <f>RIGHT(LEFT($A56,2*O$6),2)</f>
        <v>60</v>
      </c>
      <c r="P56" s="24" t="str">
        <f>RIGHT(LEFT($A56,2*P$6),2)</f>
        <v>0C</v>
      </c>
      <c r="Q56" s="24" t="str">
        <f>RIGHT(LEFT($A56,2*Q$6),2)</f>
        <v>01</v>
      </c>
      <c r="R56" s="24" t="str">
        <f>RIGHT(LEFT($A56,2*R$6),2)</f>
        <v>16</v>
      </c>
      <c r="S56" s="24" t="str">
        <f>RIGHT(LEFT($A56,2*S$6),2)</f>
        <v>00</v>
      </c>
      <c r="T56" s="24" t="str">
        <f>RIGHT(LEFT($A56,2*T$6),2)</f>
        <v>00</v>
      </c>
      <c r="U56" s="24" t="str">
        <f>RIGHT(LEFT($A56,2*U$6),2)</f>
        <v>00</v>
      </c>
      <c r="V56" s="24" t="str">
        <f>RIGHT(LEFT($A56,2*V$6),2)</f>
        <v>00</v>
      </c>
      <c r="W56" s="24" t="str">
        <f>RIGHT(LEFT($A56,2*W$6),2)</f>
        <v>00</v>
      </c>
      <c r="X56" s="24" t="str">
        <f>RIGHT(LEFT($A56,2*X$6),2)</f>
        <v>00</v>
      </c>
      <c r="Y56" s="24" t="str">
        <f>RIGHT(LEFT($A56,2*Y$6),2)</f>
        <v>DA</v>
      </c>
      <c r="AB56" s="19" t="str">
        <f>BIN2HEX(ReverseText(HEX2BIN(H56,8)),2)</f>
        <v>23</v>
      </c>
      <c r="AC56" s="19" t="str">
        <f>BIN2HEX(ReverseText(HEX2BIN(I56,8)),2)</f>
        <v>CB</v>
      </c>
      <c r="AD56" s="19" t="str">
        <f>BIN2HEX(ReverseText(HEX2BIN(J56,8)),2)</f>
        <v>26</v>
      </c>
      <c r="AE56" s="19" t="str">
        <f>BIN2HEX(ReverseText(HEX2BIN(K56,8)),2)</f>
        <v>01</v>
      </c>
      <c r="AF56" s="19" t="str">
        <f>BIN2HEX(ReverseText(HEX2BIN(L56,8)),2)</f>
        <v>00</v>
      </c>
      <c r="AG56" s="19" t="str">
        <f>BIN2HEX(ReverseText(HEX2BIN(M56,8)),2)</f>
        <v>20</v>
      </c>
      <c r="AH56" s="19" t="str">
        <f>BIN2HEX(ReverseText(HEX2BIN(N56,8)),2)</f>
        <v>08</v>
      </c>
      <c r="AI56" s="19" t="str">
        <f>BIN2HEX(ReverseText(HEX2BIN(O56,8)),2)</f>
        <v>06</v>
      </c>
      <c r="AJ56" s="19" t="str">
        <f>BIN2HEX(ReverseText(HEX2BIN(P56,8)),2)</f>
        <v>30</v>
      </c>
      <c r="AK56" s="31" t="str">
        <f>BIN2HEX(ReverseText(HEX2BIN(Q56,8)),2)</f>
        <v>80</v>
      </c>
      <c r="AL56" s="19" t="str">
        <f>BIN2HEX(ReverseText(HEX2BIN(R56,8)),2)</f>
        <v>68</v>
      </c>
      <c r="AM56" s="19" t="str">
        <f>BIN2HEX(ReverseText(HEX2BIN(S56,8)),2)</f>
        <v>00</v>
      </c>
      <c r="AN56" s="19" t="str">
        <f>BIN2HEX(ReverseText(HEX2BIN(T56,8)),2)</f>
        <v>00</v>
      </c>
      <c r="AO56" s="19" t="str">
        <f>BIN2HEX(ReverseText(HEX2BIN(U56,8)),2)</f>
        <v>00</v>
      </c>
      <c r="AP56" s="19" t="str">
        <f>BIN2HEX(ReverseText(HEX2BIN(V56,8)),2)</f>
        <v>00</v>
      </c>
      <c r="AQ56" s="19" t="str">
        <f>BIN2HEX(ReverseText(HEX2BIN(W56,8)),2)</f>
        <v>00</v>
      </c>
      <c r="AR56" s="19" t="str">
        <f>BIN2HEX(ReverseText(HEX2BIN(X56,8)),2)</f>
        <v>00</v>
      </c>
      <c r="AS56" s="19" t="str">
        <f>BIN2HEX(ReverseText(HEX2BIN(Y56,8)),2)</f>
        <v>5B</v>
      </c>
      <c r="AT56" s="19"/>
      <c r="AV56" s="19" t="str">
        <f>HEX2BIN(AB56,8)</f>
        <v>00100011</v>
      </c>
      <c r="AW56" s="19" t="str">
        <f>HEX2BIN(AC56,8)</f>
        <v>11001011</v>
      </c>
      <c r="AX56" s="19" t="str">
        <f>HEX2BIN(AD56,8)</f>
        <v>00100110</v>
      </c>
      <c r="AY56" s="19" t="str">
        <f>HEX2BIN(AE56,8)</f>
        <v>00000001</v>
      </c>
      <c r="AZ56" s="19" t="str">
        <f>HEX2BIN(AF56,8)</f>
        <v>00000000</v>
      </c>
      <c r="BA56" s="19" t="str">
        <f>HEX2BIN(AG56,8)</f>
        <v>00100000</v>
      </c>
      <c r="BB56" s="19" t="str">
        <f>HEX2BIN(AH56,8)</f>
        <v>00001000</v>
      </c>
      <c r="BC56" s="19" t="str">
        <f>HEX2BIN(AI56,8)</f>
        <v>00000110</v>
      </c>
      <c r="BD56" s="19">
        <f t="shared" si="71"/>
        <v>6</v>
      </c>
      <c r="BE56" s="19" t="str">
        <f>HEX2BIN(AJ56,8)</f>
        <v>00110000</v>
      </c>
      <c r="BF56" s="31" t="str">
        <f>HEX2BIN(AK56,8)</f>
        <v>10000000</v>
      </c>
      <c r="BG56" s="19">
        <f t="shared" si="312"/>
        <v>128</v>
      </c>
      <c r="BH56" s="19" t="str">
        <f>HEX2BIN(AL56,8)</f>
        <v>01101000</v>
      </c>
      <c r="BI56" s="19">
        <f>BIN2DEC(BH56)</f>
        <v>104</v>
      </c>
      <c r="BJ56" s="19" t="str">
        <f>HEX2BIN(AM56,8)</f>
        <v>00000000</v>
      </c>
      <c r="BK56" s="19"/>
      <c r="BL56" s="19" t="str">
        <f>HEX2BIN(AN56,8)</f>
        <v>00000000</v>
      </c>
      <c r="BM56" s="19"/>
      <c r="BN56" s="19" t="str">
        <f>HEX2BIN(AO56,8)</f>
        <v>00000000</v>
      </c>
      <c r="BO56" s="19"/>
      <c r="BP56" s="19" t="str">
        <f>HEX2BIN(AP56,8)</f>
        <v>00000000</v>
      </c>
      <c r="BQ56" s="19" t="str">
        <f>HEX2BIN(AQ56,8)</f>
        <v>00000000</v>
      </c>
      <c r="BR56" s="19" t="str">
        <f>HEX2BIN(AR56,8)</f>
        <v>00000000</v>
      </c>
      <c r="BS56" s="19" t="str">
        <f>HEX2BIN(AS56,8)</f>
        <v>01011011</v>
      </c>
      <c r="BT56" s="19">
        <f>BIN2DEC(BS56)</f>
        <v>91</v>
      </c>
    </row>
    <row r="57" spans="1:72" x14ac:dyDescent="0.25">
      <c r="A57" t="s">
        <v>86</v>
      </c>
      <c r="B57" s="11">
        <v>0.72569444444444453</v>
      </c>
      <c r="C57" s="16">
        <v>22</v>
      </c>
      <c r="D57" s="16" t="s">
        <v>1</v>
      </c>
      <c r="E57" t="s">
        <v>91</v>
      </c>
      <c r="F57" t="s">
        <v>102</v>
      </c>
      <c r="G57" t="s">
        <v>114</v>
      </c>
      <c r="H57" s="14" t="str">
        <f>RIGHT(LEFT($A57,2*H$6),2)</f>
        <v>C4</v>
      </c>
      <c r="I57" s="14" t="str">
        <f>RIGHT(LEFT($A57,2*I$6),2)</f>
        <v>D3</v>
      </c>
      <c r="J57" s="14" t="str">
        <f>RIGHT(LEFT($A57,2*J$6),2)</f>
        <v>64</v>
      </c>
      <c r="K57" s="14" t="str">
        <f>RIGHT(LEFT($A57,2*K$6),2)</f>
        <v>80</v>
      </c>
      <c r="L57" s="14" t="str">
        <f>RIGHT(LEFT($A57,2*L$6),2)</f>
        <v>00</v>
      </c>
      <c r="M57" s="14" t="str">
        <f>RIGHT(LEFT($A57,2*M$6),2)</f>
        <v>04</v>
      </c>
      <c r="N57" s="14" t="str">
        <f>RIGHT(LEFT($A57,2*N$6),2)</f>
        <v>10</v>
      </c>
      <c r="O57" s="14" t="str">
        <f>RIGHT(LEFT($A57,2*O$6),2)</f>
        <v>60</v>
      </c>
      <c r="P57" s="14" t="str">
        <f>RIGHT(LEFT($A57,2*P$6),2)</f>
        <v>0C</v>
      </c>
      <c r="Q57" s="5" t="str">
        <f>RIGHT(LEFT($A57,2*Q$6),2)</f>
        <v>A2</v>
      </c>
      <c r="R57" s="14" t="str">
        <f>RIGHT(LEFT($A57,2*R$6),2)</f>
        <v>16</v>
      </c>
      <c r="S57" s="14" t="str">
        <f>RIGHT(LEFT($A57,2*S$6),2)</f>
        <v>00</v>
      </c>
      <c r="T57" s="14" t="str">
        <f>RIGHT(LEFT($A57,2*T$6),2)</f>
        <v>00</v>
      </c>
      <c r="U57" s="14" t="str">
        <f>RIGHT(LEFT($A57,2*U$6),2)</f>
        <v>00</v>
      </c>
      <c r="V57" s="14" t="str">
        <f>RIGHT(LEFT($A57,2*V$6),2)</f>
        <v>00</v>
      </c>
      <c r="W57" s="14" t="str">
        <f>RIGHT(LEFT($A57,2*W$6),2)</f>
        <v>00</v>
      </c>
      <c r="X57" s="14" t="str">
        <f>RIGHT(LEFT($A57,2*X$6),2)</f>
        <v>00</v>
      </c>
      <c r="Y57" s="4" t="str">
        <f>RIGHT(LEFT($A57,2*Y$6),2)</f>
        <v>04</v>
      </c>
      <c r="AB57" s="16" t="str">
        <f>BIN2HEX(ReverseText(HEX2BIN(H57,8)),2)</f>
        <v>23</v>
      </c>
      <c r="AC57" s="16" t="str">
        <f>BIN2HEX(ReverseText(HEX2BIN(I57,8)),2)</f>
        <v>CB</v>
      </c>
      <c r="AD57" s="16" t="str">
        <f>BIN2HEX(ReverseText(HEX2BIN(J57,8)),2)</f>
        <v>26</v>
      </c>
      <c r="AE57" s="16" t="str">
        <f>BIN2HEX(ReverseText(HEX2BIN(K57,8)),2)</f>
        <v>01</v>
      </c>
      <c r="AF57" s="16" t="str">
        <f>BIN2HEX(ReverseText(HEX2BIN(L57,8)),2)</f>
        <v>00</v>
      </c>
      <c r="AG57" s="16" t="str">
        <f>BIN2HEX(ReverseText(HEX2BIN(M57,8)),2)</f>
        <v>20</v>
      </c>
      <c r="AH57" s="16" t="str">
        <f>BIN2HEX(ReverseText(HEX2BIN(N57,8)),2)</f>
        <v>08</v>
      </c>
      <c r="AI57" s="16" t="str">
        <f>BIN2HEX(ReverseText(HEX2BIN(O57,8)),2)</f>
        <v>06</v>
      </c>
      <c r="AJ57" s="16" t="str">
        <f>BIN2HEX(ReverseText(HEX2BIN(P57,8)),2)</f>
        <v>30</v>
      </c>
      <c r="AK57" s="31" t="str">
        <f>BIN2HEX(ReverseText(HEX2BIN(Q57,8)),2)</f>
        <v>45</v>
      </c>
      <c r="AL57" s="16" t="str">
        <f>BIN2HEX(ReverseText(HEX2BIN(R57,8)),2)</f>
        <v>68</v>
      </c>
      <c r="AM57" s="16" t="str">
        <f>BIN2HEX(ReverseText(HEX2BIN(S57,8)),2)</f>
        <v>00</v>
      </c>
      <c r="AN57" s="16" t="str">
        <f>BIN2HEX(ReverseText(HEX2BIN(T57,8)),2)</f>
        <v>00</v>
      </c>
      <c r="AO57" s="16" t="str">
        <f>BIN2HEX(ReverseText(HEX2BIN(U57,8)),2)</f>
        <v>00</v>
      </c>
      <c r="AP57" s="16" t="str">
        <f>BIN2HEX(ReverseText(HEX2BIN(V57,8)),2)</f>
        <v>00</v>
      </c>
      <c r="AQ57" s="16" t="str">
        <f>BIN2HEX(ReverseText(HEX2BIN(W57,8)),2)</f>
        <v>00</v>
      </c>
      <c r="AR57" s="16" t="str">
        <f>BIN2HEX(ReverseText(HEX2BIN(X57,8)),2)</f>
        <v>00</v>
      </c>
      <c r="AS57" s="16" t="str">
        <f>BIN2HEX(ReverseText(HEX2BIN(Y57,8)),2)</f>
        <v>20</v>
      </c>
      <c r="AT57" s="16"/>
      <c r="AV57" s="22" t="str">
        <f>HEX2BIN(AB57,8)</f>
        <v>00100011</v>
      </c>
      <c r="AW57" s="22" t="str">
        <f>HEX2BIN(AC57,8)</f>
        <v>11001011</v>
      </c>
      <c r="AX57" s="22" t="str">
        <f>HEX2BIN(AD57,8)</f>
        <v>00100110</v>
      </c>
      <c r="AY57" s="22" t="str">
        <f>HEX2BIN(AE57,8)</f>
        <v>00000001</v>
      </c>
      <c r="AZ57" s="22" t="str">
        <f>HEX2BIN(AF57,8)</f>
        <v>00000000</v>
      </c>
      <c r="BA57" s="22" t="str">
        <f>HEX2BIN(AG57,8)</f>
        <v>00100000</v>
      </c>
      <c r="BB57" s="22" t="str">
        <f>HEX2BIN(AH57,8)</f>
        <v>00001000</v>
      </c>
      <c r="BC57" s="22" t="str">
        <f>HEX2BIN(AI57,8)</f>
        <v>00000110</v>
      </c>
      <c r="BD57" s="22">
        <f t="shared" si="71"/>
        <v>6</v>
      </c>
      <c r="BE57" s="22" t="str">
        <f>HEX2BIN(AJ57,8)</f>
        <v>00110000</v>
      </c>
      <c r="BF57" s="31" t="str">
        <f>HEX2BIN(AK57,8)</f>
        <v>01000101</v>
      </c>
      <c r="BG57" s="22">
        <f t="shared" si="312"/>
        <v>69</v>
      </c>
      <c r="BH57" s="22" t="str">
        <f>HEX2BIN(AL57,8)</f>
        <v>01101000</v>
      </c>
      <c r="BI57" s="22">
        <f>BIN2DEC(BH57)</f>
        <v>104</v>
      </c>
      <c r="BJ57" s="22" t="str">
        <f>HEX2BIN(AM57,8)</f>
        <v>00000000</v>
      </c>
      <c r="BK57" s="22"/>
      <c r="BL57" s="22" t="str">
        <f>HEX2BIN(AN57,8)</f>
        <v>00000000</v>
      </c>
      <c r="BM57" s="22"/>
      <c r="BN57" s="22" t="str">
        <f>HEX2BIN(AO57,8)</f>
        <v>00000000</v>
      </c>
      <c r="BO57" s="22"/>
      <c r="BP57" s="22" t="str">
        <f>HEX2BIN(AP57,8)</f>
        <v>00000000</v>
      </c>
      <c r="BQ57" s="22" t="str">
        <f>HEX2BIN(AQ57,8)</f>
        <v>00000000</v>
      </c>
      <c r="BR57" s="22" t="str">
        <f>HEX2BIN(AR57,8)</f>
        <v>00000000</v>
      </c>
      <c r="BS57" s="22" t="str">
        <f>HEX2BIN(AS57,8)</f>
        <v>00100000</v>
      </c>
      <c r="BT57" s="16">
        <f>BIN2DEC(BS57)</f>
        <v>32</v>
      </c>
    </row>
    <row r="58" spans="1:72" x14ac:dyDescent="0.25">
      <c r="A58" t="s">
        <v>116</v>
      </c>
      <c r="B58" s="11">
        <v>0.72569444444444453</v>
      </c>
      <c r="C58" s="16">
        <v>19</v>
      </c>
      <c r="D58" s="16" t="s">
        <v>1</v>
      </c>
      <c r="E58" t="s">
        <v>91</v>
      </c>
      <c r="F58" t="s">
        <v>102</v>
      </c>
      <c r="G58" t="s">
        <v>114</v>
      </c>
      <c r="H58" s="14" t="str">
        <f>RIGHT(LEFT($A58,2*H$6),2)</f>
        <v>C4</v>
      </c>
      <c r="I58" s="14" t="str">
        <f>RIGHT(LEFT($A58,2*I$6),2)</f>
        <v>D3</v>
      </c>
      <c r="J58" s="14" t="str">
        <f>RIGHT(LEFT($A58,2*J$6),2)</f>
        <v>64</v>
      </c>
      <c r="K58" s="14" t="str">
        <f>RIGHT(LEFT($A58,2*K$6),2)</f>
        <v>80</v>
      </c>
      <c r="L58" s="14" t="str">
        <f>RIGHT(LEFT($A58,2*L$6),2)</f>
        <v>00</v>
      </c>
      <c r="M58" s="14" t="str">
        <f>RIGHT(LEFT($A58,2*M$6),2)</f>
        <v>04</v>
      </c>
      <c r="N58" s="14" t="str">
        <f>RIGHT(LEFT($A58,2*N$6),2)</f>
        <v>10</v>
      </c>
      <c r="O58" s="14" t="str">
        <f>RIGHT(LEFT($A58,2*O$6),2)</f>
        <v>C0</v>
      </c>
      <c r="P58" s="14" t="str">
        <f>RIGHT(LEFT($A58,2*P$6),2)</f>
        <v>0C</v>
      </c>
      <c r="Q58" s="5" t="str">
        <f>RIGHT(LEFT($A58,2*Q$6),2)</f>
        <v>A2</v>
      </c>
      <c r="R58" s="14" t="str">
        <f>RIGHT(LEFT($A58,2*R$6),2)</f>
        <v>16</v>
      </c>
      <c r="S58" s="14" t="str">
        <f>RIGHT(LEFT($A58,2*S$6),2)</f>
        <v>00</v>
      </c>
      <c r="T58" s="14" t="str">
        <f>RIGHT(LEFT($A58,2*T$6),2)</f>
        <v>00</v>
      </c>
      <c r="U58" s="14" t="str">
        <f>RIGHT(LEFT($A58,2*U$6),2)</f>
        <v>00</v>
      </c>
      <c r="V58" s="14" t="str">
        <f>RIGHT(LEFT($A58,2*V$6),2)</f>
        <v>00</v>
      </c>
      <c r="W58" s="14" t="str">
        <f>RIGHT(LEFT($A58,2*W$6),2)</f>
        <v>00</v>
      </c>
      <c r="X58" s="14" t="str">
        <f>RIGHT(LEFT($A58,2*X$6),2)</f>
        <v>00</v>
      </c>
      <c r="Y58" s="4" t="str">
        <f>RIGHT(LEFT($A58,2*Y$6),2)</f>
        <v>B8</v>
      </c>
      <c r="AB58" s="16" t="str">
        <f t="shared" ref="AB58:AB62" si="313">BIN2HEX(ReverseText(HEX2BIN(H58,8)),2)</f>
        <v>23</v>
      </c>
      <c r="AC58" s="16" t="str">
        <f t="shared" ref="AC58:AC62" si="314">BIN2HEX(ReverseText(HEX2BIN(I58,8)),2)</f>
        <v>CB</v>
      </c>
      <c r="AD58" s="16" t="str">
        <f t="shared" ref="AD58:AD62" si="315">BIN2HEX(ReverseText(HEX2BIN(J58,8)),2)</f>
        <v>26</v>
      </c>
      <c r="AE58" s="16" t="str">
        <f t="shared" ref="AE58:AE62" si="316">BIN2HEX(ReverseText(HEX2BIN(K58,8)),2)</f>
        <v>01</v>
      </c>
      <c r="AF58" s="16" t="str">
        <f t="shared" ref="AF58:AF62" si="317">BIN2HEX(ReverseText(HEX2BIN(L58,8)),2)</f>
        <v>00</v>
      </c>
      <c r="AG58" s="16" t="str">
        <f t="shared" ref="AG58:AG62" si="318">BIN2HEX(ReverseText(HEX2BIN(M58,8)),2)</f>
        <v>20</v>
      </c>
      <c r="AH58" s="16" t="str">
        <f t="shared" ref="AH58:AH62" si="319">BIN2HEX(ReverseText(HEX2BIN(N58,8)),2)</f>
        <v>08</v>
      </c>
      <c r="AI58" s="16" t="str">
        <f t="shared" ref="AI58:AI62" si="320">BIN2HEX(ReverseText(HEX2BIN(O58,8)),2)</f>
        <v>03</v>
      </c>
      <c r="AJ58" s="16" t="str">
        <f t="shared" ref="AJ58:AJ62" si="321">BIN2HEX(ReverseText(HEX2BIN(P58,8)),2)</f>
        <v>30</v>
      </c>
      <c r="AK58" s="31" t="str">
        <f t="shared" ref="AK58:AK62" si="322">BIN2HEX(ReverseText(HEX2BIN(Q58,8)),2)</f>
        <v>45</v>
      </c>
      <c r="AL58" s="16" t="str">
        <f t="shared" ref="AL58:AL62" si="323">BIN2HEX(ReverseText(HEX2BIN(R58,8)),2)</f>
        <v>68</v>
      </c>
      <c r="AM58" s="16" t="str">
        <f t="shared" ref="AM58:AM62" si="324">BIN2HEX(ReverseText(HEX2BIN(S58,8)),2)</f>
        <v>00</v>
      </c>
      <c r="AN58" s="16" t="str">
        <f t="shared" ref="AN58:AN62" si="325">BIN2HEX(ReverseText(HEX2BIN(T58,8)),2)</f>
        <v>00</v>
      </c>
      <c r="AO58" s="16" t="str">
        <f t="shared" ref="AO58:AO62" si="326">BIN2HEX(ReverseText(HEX2BIN(U58,8)),2)</f>
        <v>00</v>
      </c>
      <c r="AP58" s="16" t="str">
        <f t="shared" ref="AP58:AP62" si="327">BIN2HEX(ReverseText(HEX2BIN(V58,8)),2)</f>
        <v>00</v>
      </c>
      <c r="AQ58" s="16" t="str">
        <f t="shared" ref="AQ58:AQ62" si="328">BIN2HEX(ReverseText(HEX2BIN(W58,8)),2)</f>
        <v>00</v>
      </c>
      <c r="AR58" s="16" t="str">
        <f t="shared" ref="AR58:AR62" si="329">BIN2HEX(ReverseText(HEX2BIN(X58,8)),2)</f>
        <v>00</v>
      </c>
      <c r="AS58" s="16" t="str">
        <f t="shared" ref="AS58:AS62" si="330">BIN2HEX(ReverseText(HEX2BIN(Y58,8)),2)</f>
        <v>1D</v>
      </c>
      <c r="AT58" s="16"/>
      <c r="AV58" s="22" t="str">
        <f t="shared" ref="AV58:AV62" si="331">HEX2BIN(AB58,8)</f>
        <v>00100011</v>
      </c>
      <c r="AW58" s="22" t="str">
        <f t="shared" ref="AW58:AW62" si="332">HEX2BIN(AC58,8)</f>
        <v>11001011</v>
      </c>
      <c r="AX58" s="22" t="str">
        <f t="shared" ref="AX58:AX62" si="333">HEX2BIN(AD58,8)</f>
        <v>00100110</v>
      </c>
      <c r="AY58" s="22" t="str">
        <f t="shared" ref="AY58:AY62" si="334">HEX2BIN(AE58,8)</f>
        <v>00000001</v>
      </c>
      <c r="AZ58" s="22" t="str">
        <f t="shared" ref="AZ58:AZ62" si="335">HEX2BIN(AF58,8)</f>
        <v>00000000</v>
      </c>
      <c r="BA58" s="22" t="str">
        <f t="shared" ref="BA58:BA62" si="336">HEX2BIN(AG58,8)</f>
        <v>00100000</v>
      </c>
      <c r="BB58" s="22" t="str">
        <f t="shared" ref="BB58:BB62" si="337">HEX2BIN(AH58,8)</f>
        <v>00001000</v>
      </c>
      <c r="BC58" s="22" t="str">
        <f t="shared" ref="BC58:BC62" si="338">HEX2BIN(AI58,8)</f>
        <v>00000011</v>
      </c>
      <c r="BD58" s="22">
        <f t="shared" si="71"/>
        <v>3</v>
      </c>
      <c r="BE58" s="22" t="str">
        <f t="shared" ref="BE58:BE62" si="339">HEX2BIN(AJ58,8)</f>
        <v>00110000</v>
      </c>
      <c r="BF58" s="31" t="str">
        <f t="shared" ref="BF58:BF62" si="340">HEX2BIN(AK58,8)</f>
        <v>01000101</v>
      </c>
      <c r="BG58" s="22">
        <f t="shared" si="312"/>
        <v>69</v>
      </c>
      <c r="BH58" s="22" t="str">
        <f t="shared" ref="BH58:BH62" si="341">HEX2BIN(AL58,8)</f>
        <v>01101000</v>
      </c>
      <c r="BI58" s="22">
        <f t="shared" ref="BI58:BI79" si="342">BIN2DEC(BH58)</f>
        <v>104</v>
      </c>
      <c r="BJ58" s="22" t="str">
        <f t="shared" ref="BJ58:BJ62" si="343">HEX2BIN(AM58,8)</f>
        <v>00000000</v>
      </c>
      <c r="BK58" s="22"/>
      <c r="BL58" s="22" t="str">
        <f t="shared" ref="BL58:BL62" si="344">HEX2BIN(AN58,8)</f>
        <v>00000000</v>
      </c>
      <c r="BM58" s="22"/>
      <c r="BN58" s="22" t="str">
        <f t="shared" ref="BN58:BN62" si="345">HEX2BIN(AO58,8)</f>
        <v>00000000</v>
      </c>
      <c r="BO58" s="22"/>
      <c r="BP58" s="22" t="str">
        <f t="shared" ref="BP58:BP62" si="346">HEX2BIN(AP58,8)</f>
        <v>00000000</v>
      </c>
      <c r="BQ58" s="22" t="str">
        <f t="shared" ref="BQ58:BQ62" si="347">HEX2BIN(AQ58,8)</f>
        <v>00000000</v>
      </c>
      <c r="BR58" s="22" t="str">
        <f t="shared" ref="BR58:BR62" si="348">HEX2BIN(AR58,8)</f>
        <v>00000000</v>
      </c>
      <c r="BS58" s="22" t="str">
        <f t="shared" ref="BS58:BS62" si="349">HEX2BIN(AS58,8)</f>
        <v>00011101</v>
      </c>
      <c r="BT58" s="16">
        <f t="shared" ref="BT58:BT79" si="350">BIN2DEC(BS58)</f>
        <v>29</v>
      </c>
    </row>
    <row r="59" spans="1:72" x14ac:dyDescent="0.25">
      <c r="A59" t="s">
        <v>117</v>
      </c>
      <c r="B59" s="11">
        <v>0.72569444444444453</v>
      </c>
      <c r="C59" s="16">
        <v>18</v>
      </c>
      <c r="D59" s="16" t="s">
        <v>1</v>
      </c>
      <c r="E59" t="s">
        <v>91</v>
      </c>
      <c r="F59" t="s">
        <v>102</v>
      </c>
      <c r="G59" t="s">
        <v>114</v>
      </c>
      <c r="H59" s="14" t="str">
        <f>RIGHT(LEFT($A59,2*H$6),2)</f>
        <v>C4</v>
      </c>
      <c r="I59" s="14" t="str">
        <f>RIGHT(LEFT($A59,2*I$6),2)</f>
        <v>D3</v>
      </c>
      <c r="J59" s="14" t="str">
        <f>RIGHT(LEFT($A59,2*J$6),2)</f>
        <v>64</v>
      </c>
      <c r="K59" s="14" t="str">
        <f>RIGHT(LEFT($A59,2*K$6),2)</f>
        <v>80</v>
      </c>
      <c r="L59" s="14" t="str">
        <f>RIGHT(LEFT($A59,2*L$6),2)</f>
        <v>00</v>
      </c>
      <c r="M59" s="14" t="str">
        <f>RIGHT(LEFT($A59,2*M$6),2)</f>
        <v>04</v>
      </c>
      <c r="N59" s="14" t="str">
        <f>RIGHT(LEFT($A59,2*N$6),2)</f>
        <v>10</v>
      </c>
      <c r="O59" s="14" t="str">
        <f>RIGHT(LEFT($A59,2*O$6),2)</f>
        <v>40</v>
      </c>
      <c r="P59" s="14" t="str">
        <f>RIGHT(LEFT($A59,2*P$6),2)</f>
        <v>0C</v>
      </c>
      <c r="Q59" s="5" t="str">
        <f>RIGHT(LEFT($A59,2*Q$6),2)</f>
        <v>A2</v>
      </c>
      <c r="R59" s="14" t="str">
        <f>RIGHT(LEFT($A59,2*R$6),2)</f>
        <v>16</v>
      </c>
      <c r="S59" s="14" t="str">
        <f>RIGHT(LEFT($A59,2*S$6),2)</f>
        <v>00</v>
      </c>
      <c r="T59" s="14" t="str">
        <f>RIGHT(LEFT($A59,2*T$6),2)</f>
        <v>00</v>
      </c>
      <c r="U59" s="14" t="str">
        <f>RIGHT(LEFT($A59,2*U$6),2)</f>
        <v>00</v>
      </c>
      <c r="V59" s="14" t="str">
        <f>RIGHT(LEFT($A59,2*V$6),2)</f>
        <v>00</v>
      </c>
      <c r="W59" s="14" t="str">
        <f>RIGHT(LEFT($A59,2*W$6),2)</f>
        <v>00</v>
      </c>
      <c r="X59" s="14" t="str">
        <f>RIGHT(LEFT($A59,2*X$6),2)</f>
        <v>00</v>
      </c>
      <c r="Y59" s="4" t="str">
        <f>RIGHT(LEFT($A59,2*Y$6),2)</f>
        <v>38</v>
      </c>
      <c r="AB59" s="16" t="str">
        <f t="shared" si="313"/>
        <v>23</v>
      </c>
      <c r="AC59" s="16" t="str">
        <f t="shared" si="314"/>
        <v>CB</v>
      </c>
      <c r="AD59" s="16" t="str">
        <f t="shared" si="315"/>
        <v>26</v>
      </c>
      <c r="AE59" s="16" t="str">
        <f t="shared" si="316"/>
        <v>01</v>
      </c>
      <c r="AF59" s="16" t="str">
        <f t="shared" si="317"/>
        <v>00</v>
      </c>
      <c r="AG59" s="16" t="str">
        <f t="shared" si="318"/>
        <v>20</v>
      </c>
      <c r="AH59" s="16" t="str">
        <f t="shared" si="319"/>
        <v>08</v>
      </c>
      <c r="AI59" s="16" t="str">
        <f t="shared" si="320"/>
        <v>02</v>
      </c>
      <c r="AJ59" s="16" t="str">
        <f t="shared" si="321"/>
        <v>30</v>
      </c>
      <c r="AK59" s="31" t="str">
        <f t="shared" si="322"/>
        <v>45</v>
      </c>
      <c r="AL59" s="16" t="str">
        <f t="shared" si="323"/>
        <v>68</v>
      </c>
      <c r="AM59" s="16" t="str">
        <f t="shared" si="324"/>
        <v>00</v>
      </c>
      <c r="AN59" s="16" t="str">
        <f t="shared" si="325"/>
        <v>00</v>
      </c>
      <c r="AO59" s="16" t="str">
        <f t="shared" si="326"/>
        <v>00</v>
      </c>
      <c r="AP59" s="16" t="str">
        <f t="shared" si="327"/>
        <v>00</v>
      </c>
      <c r="AQ59" s="16" t="str">
        <f t="shared" si="328"/>
        <v>00</v>
      </c>
      <c r="AR59" s="16" t="str">
        <f t="shared" si="329"/>
        <v>00</v>
      </c>
      <c r="AS59" s="16" t="str">
        <f t="shared" si="330"/>
        <v>1C</v>
      </c>
      <c r="AT59" s="16"/>
      <c r="AV59" s="22" t="str">
        <f t="shared" si="331"/>
        <v>00100011</v>
      </c>
      <c r="AW59" s="22" t="str">
        <f t="shared" si="332"/>
        <v>11001011</v>
      </c>
      <c r="AX59" s="22" t="str">
        <f t="shared" si="333"/>
        <v>00100110</v>
      </c>
      <c r="AY59" s="22" t="str">
        <f t="shared" si="334"/>
        <v>00000001</v>
      </c>
      <c r="AZ59" s="22" t="str">
        <f t="shared" si="335"/>
        <v>00000000</v>
      </c>
      <c r="BA59" s="22" t="str">
        <f t="shared" si="336"/>
        <v>00100000</v>
      </c>
      <c r="BB59" s="22" t="str">
        <f t="shared" si="337"/>
        <v>00001000</v>
      </c>
      <c r="BC59" s="22" t="str">
        <f t="shared" si="338"/>
        <v>00000010</v>
      </c>
      <c r="BD59" s="22">
        <f t="shared" si="71"/>
        <v>2</v>
      </c>
      <c r="BE59" s="22" t="str">
        <f t="shared" si="339"/>
        <v>00110000</v>
      </c>
      <c r="BF59" s="31" t="str">
        <f t="shared" si="340"/>
        <v>01000101</v>
      </c>
      <c r="BG59" s="22">
        <f t="shared" si="312"/>
        <v>69</v>
      </c>
      <c r="BH59" s="22" t="str">
        <f t="shared" si="341"/>
        <v>01101000</v>
      </c>
      <c r="BI59" s="22">
        <f t="shared" si="342"/>
        <v>104</v>
      </c>
      <c r="BJ59" s="22" t="str">
        <f t="shared" si="343"/>
        <v>00000000</v>
      </c>
      <c r="BK59" s="22"/>
      <c r="BL59" s="22" t="str">
        <f t="shared" si="344"/>
        <v>00000000</v>
      </c>
      <c r="BM59" s="22"/>
      <c r="BN59" s="22" t="str">
        <f t="shared" si="345"/>
        <v>00000000</v>
      </c>
      <c r="BO59" s="22"/>
      <c r="BP59" s="22" t="str">
        <f t="shared" si="346"/>
        <v>00000000</v>
      </c>
      <c r="BQ59" s="22" t="str">
        <f t="shared" si="347"/>
        <v>00000000</v>
      </c>
      <c r="BR59" s="22" t="str">
        <f t="shared" si="348"/>
        <v>00000000</v>
      </c>
      <c r="BS59" s="22" t="str">
        <f t="shared" si="349"/>
        <v>00011100</v>
      </c>
      <c r="BT59" s="16">
        <f t="shared" si="350"/>
        <v>28</v>
      </c>
    </row>
    <row r="60" spans="1:72" x14ac:dyDescent="0.25">
      <c r="A60" t="s">
        <v>118</v>
      </c>
      <c r="B60" s="11">
        <v>0.72569444444444453</v>
      </c>
      <c r="C60" s="16">
        <v>17</v>
      </c>
      <c r="D60" s="16" t="s">
        <v>1</v>
      </c>
      <c r="E60" t="s">
        <v>91</v>
      </c>
      <c r="F60" t="s">
        <v>102</v>
      </c>
      <c r="G60" t="s">
        <v>114</v>
      </c>
      <c r="H60" s="14" t="str">
        <f>RIGHT(LEFT($A60,2*H$6),2)</f>
        <v>C4</v>
      </c>
      <c r="I60" s="14" t="str">
        <f>RIGHT(LEFT($A60,2*I$6),2)</f>
        <v>D3</v>
      </c>
      <c r="J60" s="14" t="str">
        <f>RIGHT(LEFT($A60,2*J$6),2)</f>
        <v>64</v>
      </c>
      <c r="K60" s="14" t="str">
        <f>RIGHT(LEFT($A60,2*K$6),2)</f>
        <v>80</v>
      </c>
      <c r="L60" s="14" t="str">
        <f>RIGHT(LEFT($A60,2*L$6),2)</f>
        <v>00</v>
      </c>
      <c r="M60" s="14" t="str">
        <f>RIGHT(LEFT($A60,2*M$6),2)</f>
        <v>04</v>
      </c>
      <c r="N60" s="14" t="str">
        <f>RIGHT(LEFT($A60,2*N$6),2)</f>
        <v>10</v>
      </c>
      <c r="O60" s="14" t="str">
        <f>RIGHT(LEFT($A60,2*O$6),2)</f>
        <v>80</v>
      </c>
      <c r="P60" s="14" t="str">
        <f>RIGHT(LEFT($A60,2*P$6),2)</f>
        <v>0C</v>
      </c>
      <c r="Q60" s="5" t="str">
        <f>RIGHT(LEFT($A60,2*Q$6),2)</f>
        <v>A2</v>
      </c>
      <c r="R60" s="14" t="str">
        <f>RIGHT(LEFT($A60,2*R$6),2)</f>
        <v>16</v>
      </c>
      <c r="S60" s="14" t="str">
        <f>RIGHT(LEFT($A60,2*S$6),2)</f>
        <v>00</v>
      </c>
      <c r="T60" s="14" t="str">
        <f>RIGHT(LEFT($A60,2*T$6),2)</f>
        <v>00</v>
      </c>
      <c r="U60" s="14" t="str">
        <f>RIGHT(LEFT($A60,2*U$6),2)</f>
        <v>00</v>
      </c>
      <c r="V60" s="14" t="str">
        <f>RIGHT(LEFT($A60,2*V$6),2)</f>
        <v>00</v>
      </c>
      <c r="W60" s="14" t="str">
        <f>RIGHT(LEFT($A60,2*W$6),2)</f>
        <v>00</v>
      </c>
      <c r="X60" s="14" t="str">
        <f>RIGHT(LEFT($A60,2*X$6),2)</f>
        <v>00</v>
      </c>
      <c r="Y60" s="4" t="str">
        <f>RIGHT(LEFT($A60,2*Y$6),2)</f>
        <v>D8</v>
      </c>
      <c r="AB60" s="16" t="str">
        <f t="shared" si="313"/>
        <v>23</v>
      </c>
      <c r="AC60" s="16" t="str">
        <f t="shared" si="314"/>
        <v>CB</v>
      </c>
      <c r="AD60" s="16" t="str">
        <f t="shared" si="315"/>
        <v>26</v>
      </c>
      <c r="AE60" s="16" t="str">
        <f t="shared" si="316"/>
        <v>01</v>
      </c>
      <c r="AF60" s="16" t="str">
        <f t="shared" si="317"/>
        <v>00</v>
      </c>
      <c r="AG60" s="16" t="str">
        <f t="shared" si="318"/>
        <v>20</v>
      </c>
      <c r="AH60" s="16" t="str">
        <f t="shared" si="319"/>
        <v>08</v>
      </c>
      <c r="AI60" s="16" t="str">
        <f t="shared" si="320"/>
        <v>01</v>
      </c>
      <c r="AJ60" s="16" t="str">
        <f t="shared" si="321"/>
        <v>30</v>
      </c>
      <c r="AK60" s="31" t="str">
        <f t="shared" si="322"/>
        <v>45</v>
      </c>
      <c r="AL60" s="16" t="str">
        <f t="shared" si="323"/>
        <v>68</v>
      </c>
      <c r="AM60" s="16" t="str">
        <f t="shared" si="324"/>
        <v>00</v>
      </c>
      <c r="AN60" s="16" t="str">
        <f t="shared" si="325"/>
        <v>00</v>
      </c>
      <c r="AO60" s="16" t="str">
        <f t="shared" si="326"/>
        <v>00</v>
      </c>
      <c r="AP60" s="16" t="str">
        <f t="shared" si="327"/>
        <v>00</v>
      </c>
      <c r="AQ60" s="16" t="str">
        <f t="shared" si="328"/>
        <v>00</v>
      </c>
      <c r="AR60" s="16" t="str">
        <f t="shared" si="329"/>
        <v>00</v>
      </c>
      <c r="AS60" s="16" t="str">
        <f t="shared" si="330"/>
        <v>1B</v>
      </c>
      <c r="AT60" s="16"/>
      <c r="AV60" s="22" t="str">
        <f t="shared" si="331"/>
        <v>00100011</v>
      </c>
      <c r="AW60" s="22" t="str">
        <f t="shared" si="332"/>
        <v>11001011</v>
      </c>
      <c r="AX60" s="22" t="str">
        <f t="shared" si="333"/>
        <v>00100110</v>
      </c>
      <c r="AY60" s="22" t="str">
        <f t="shared" si="334"/>
        <v>00000001</v>
      </c>
      <c r="AZ60" s="22" t="str">
        <f t="shared" si="335"/>
        <v>00000000</v>
      </c>
      <c r="BA60" s="22" t="str">
        <f t="shared" si="336"/>
        <v>00100000</v>
      </c>
      <c r="BB60" s="22" t="str">
        <f t="shared" si="337"/>
        <v>00001000</v>
      </c>
      <c r="BC60" s="22" t="str">
        <f t="shared" si="338"/>
        <v>00000001</v>
      </c>
      <c r="BD60" s="22">
        <f t="shared" si="71"/>
        <v>1</v>
      </c>
      <c r="BE60" s="22" t="str">
        <f t="shared" si="339"/>
        <v>00110000</v>
      </c>
      <c r="BF60" s="31" t="str">
        <f t="shared" si="340"/>
        <v>01000101</v>
      </c>
      <c r="BG60" s="22">
        <f t="shared" si="312"/>
        <v>69</v>
      </c>
      <c r="BH60" s="22" t="str">
        <f t="shared" si="341"/>
        <v>01101000</v>
      </c>
      <c r="BI60" s="22">
        <f t="shared" si="342"/>
        <v>104</v>
      </c>
      <c r="BJ60" s="22" t="str">
        <f t="shared" si="343"/>
        <v>00000000</v>
      </c>
      <c r="BK60" s="22"/>
      <c r="BL60" s="22" t="str">
        <f t="shared" si="344"/>
        <v>00000000</v>
      </c>
      <c r="BM60" s="22"/>
      <c r="BN60" s="22" t="str">
        <f t="shared" si="345"/>
        <v>00000000</v>
      </c>
      <c r="BO60" s="22"/>
      <c r="BP60" s="22" t="str">
        <f t="shared" si="346"/>
        <v>00000000</v>
      </c>
      <c r="BQ60" s="22" t="str">
        <f t="shared" si="347"/>
        <v>00000000</v>
      </c>
      <c r="BR60" s="22" t="str">
        <f t="shared" si="348"/>
        <v>00000000</v>
      </c>
      <c r="BS60" s="22" t="str">
        <f t="shared" si="349"/>
        <v>00011011</v>
      </c>
      <c r="BT60" s="16">
        <f t="shared" si="350"/>
        <v>27</v>
      </c>
    </row>
    <row r="61" spans="1:72" x14ac:dyDescent="0.25">
      <c r="A61" t="s">
        <v>119</v>
      </c>
      <c r="B61" s="11">
        <v>0.72569444444444453</v>
      </c>
      <c r="C61" s="16">
        <v>16</v>
      </c>
      <c r="D61" s="16" t="s">
        <v>1</v>
      </c>
      <c r="E61" t="s">
        <v>91</v>
      </c>
      <c r="F61" t="s">
        <v>102</v>
      </c>
      <c r="G61" t="s">
        <v>114</v>
      </c>
      <c r="H61" s="14" t="str">
        <f>RIGHT(LEFT($A61,2*H$6),2)</f>
        <v>C4</v>
      </c>
      <c r="I61" s="14" t="str">
        <f>RIGHT(LEFT($A61,2*I$6),2)</f>
        <v>D3</v>
      </c>
      <c r="J61" s="14" t="str">
        <f>RIGHT(LEFT($A61,2*J$6),2)</f>
        <v>64</v>
      </c>
      <c r="K61" s="14" t="str">
        <f>RIGHT(LEFT($A61,2*K$6),2)</f>
        <v>80</v>
      </c>
      <c r="L61" s="14" t="str">
        <f>RIGHT(LEFT($A61,2*L$6),2)</f>
        <v>00</v>
      </c>
      <c r="M61" s="14" t="str">
        <f>RIGHT(LEFT($A61,2*M$6),2)</f>
        <v>04</v>
      </c>
      <c r="N61" s="14" t="str">
        <f>RIGHT(LEFT($A61,2*N$6),2)</f>
        <v>10</v>
      </c>
      <c r="O61" s="14" t="str">
        <f>RIGHT(LEFT($A61,2*O$6),2)</f>
        <v>00</v>
      </c>
      <c r="P61" s="14" t="str">
        <f>RIGHT(LEFT($A61,2*P$6),2)</f>
        <v>0C</v>
      </c>
      <c r="Q61" s="5" t="str">
        <f>RIGHT(LEFT($A61,2*Q$6),2)</f>
        <v>A1</v>
      </c>
      <c r="R61" s="14" t="str">
        <f>RIGHT(LEFT($A61,2*R$6),2)</f>
        <v>16</v>
      </c>
      <c r="S61" s="14" t="str">
        <f>RIGHT(LEFT($A61,2*S$6),2)</f>
        <v>00</v>
      </c>
      <c r="T61" s="14" t="str">
        <f>RIGHT(LEFT($A61,2*T$6),2)</f>
        <v>00</v>
      </c>
      <c r="U61" s="14" t="str">
        <f>RIGHT(LEFT($A61,2*U$6),2)</f>
        <v>00</v>
      </c>
      <c r="V61" s="14" t="str">
        <f>RIGHT(LEFT($A61,2*V$6),2)</f>
        <v>00</v>
      </c>
      <c r="W61" s="14" t="str">
        <f>RIGHT(LEFT($A61,2*W$6),2)</f>
        <v>00</v>
      </c>
      <c r="X61" s="14" t="str">
        <f>RIGHT(LEFT($A61,2*X$6),2)</f>
        <v>00</v>
      </c>
      <c r="Y61" s="4" t="str">
        <f>RIGHT(LEFT($A61,2*Y$6),2)</f>
        <v>5A</v>
      </c>
      <c r="AB61" s="16" t="str">
        <f t="shared" si="313"/>
        <v>23</v>
      </c>
      <c r="AC61" s="16" t="str">
        <f t="shared" si="314"/>
        <v>CB</v>
      </c>
      <c r="AD61" s="16" t="str">
        <f t="shared" si="315"/>
        <v>26</v>
      </c>
      <c r="AE61" s="16" t="str">
        <f t="shared" si="316"/>
        <v>01</v>
      </c>
      <c r="AF61" s="16" t="str">
        <f t="shared" si="317"/>
        <v>00</v>
      </c>
      <c r="AG61" s="16" t="str">
        <f t="shared" si="318"/>
        <v>20</v>
      </c>
      <c r="AH61" s="16" t="str">
        <f t="shared" si="319"/>
        <v>08</v>
      </c>
      <c r="AI61" s="16" t="str">
        <f t="shared" si="320"/>
        <v>00</v>
      </c>
      <c r="AJ61" s="16" t="str">
        <f t="shared" si="321"/>
        <v>30</v>
      </c>
      <c r="AK61" s="31" t="str">
        <f t="shared" si="322"/>
        <v>85</v>
      </c>
      <c r="AL61" s="16" t="str">
        <f t="shared" si="323"/>
        <v>68</v>
      </c>
      <c r="AM61" s="16" t="str">
        <f t="shared" si="324"/>
        <v>00</v>
      </c>
      <c r="AN61" s="16" t="str">
        <f t="shared" si="325"/>
        <v>00</v>
      </c>
      <c r="AO61" s="16" t="str">
        <f t="shared" si="326"/>
        <v>00</v>
      </c>
      <c r="AP61" s="16" t="str">
        <f t="shared" si="327"/>
        <v>00</v>
      </c>
      <c r="AQ61" s="16" t="str">
        <f t="shared" si="328"/>
        <v>00</v>
      </c>
      <c r="AR61" s="16" t="str">
        <f t="shared" si="329"/>
        <v>00</v>
      </c>
      <c r="AS61" s="16" t="str">
        <f t="shared" si="330"/>
        <v>5A</v>
      </c>
      <c r="AT61" s="16"/>
      <c r="AV61" s="22" t="str">
        <f t="shared" si="331"/>
        <v>00100011</v>
      </c>
      <c r="AW61" s="22" t="str">
        <f t="shared" si="332"/>
        <v>11001011</v>
      </c>
      <c r="AX61" s="22" t="str">
        <f t="shared" si="333"/>
        <v>00100110</v>
      </c>
      <c r="AY61" s="22" t="str">
        <f t="shared" si="334"/>
        <v>00000001</v>
      </c>
      <c r="AZ61" s="22" t="str">
        <f t="shared" si="335"/>
        <v>00000000</v>
      </c>
      <c r="BA61" s="22" t="str">
        <f t="shared" si="336"/>
        <v>00100000</v>
      </c>
      <c r="BB61" s="22" t="str">
        <f t="shared" si="337"/>
        <v>00001000</v>
      </c>
      <c r="BC61" s="22" t="str">
        <f t="shared" si="338"/>
        <v>00000000</v>
      </c>
      <c r="BD61" s="22">
        <f t="shared" si="71"/>
        <v>0</v>
      </c>
      <c r="BE61" s="22" t="str">
        <f t="shared" si="339"/>
        <v>00110000</v>
      </c>
      <c r="BF61" s="31" t="str">
        <f t="shared" si="340"/>
        <v>10000101</v>
      </c>
      <c r="BG61" s="22">
        <f t="shared" si="312"/>
        <v>133</v>
      </c>
      <c r="BH61" s="22" t="str">
        <f t="shared" si="341"/>
        <v>01101000</v>
      </c>
      <c r="BI61" s="22">
        <f t="shared" si="342"/>
        <v>104</v>
      </c>
      <c r="BJ61" s="22" t="str">
        <f t="shared" si="343"/>
        <v>00000000</v>
      </c>
      <c r="BK61" s="22"/>
      <c r="BL61" s="22" t="str">
        <f t="shared" si="344"/>
        <v>00000000</v>
      </c>
      <c r="BM61" s="22"/>
      <c r="BN61" s="22" t="str">
        <f t="shared" si="345"/>
        <v>00000000</v>
      </c>
      <c r="BO61" s="22"/>
      <c r="BP61" s="22" t="str">
        <f t="shared" si="346"/>
        <v>00000000</v>
      </c>
      <c r="BQ61" s="22" t="str">
        <f t="shared" si="347"/>
        <v>00000000</v>
      </c>
      <c r="BR61" s="22" t="str">
        <f t="shared" si="348"/>
        <v>00000000</v>
      </c>
      <c r="BS61" s="22" t="str">
        <f t="shared" si="349"/>
        <v>01011010</v>
      </c>
      <c r="BT61" s="16">
        <f t="shared" si="350"/>
        <v>90</v>
      </c>
    </row>
    <row r="62" spans="1:72" s="7" customFormat="1" x14ac:dyDescent="0.25">
      <c r="A62" s="7" t="s">
        <v>120</v>
      </c>
      <c r="B62" s="33">
        <v>0.70833333333333337</v>
      </c>
      <c r="C62" s="34">
        <v>22</v>
      </c>
      <c r="D62" s="34" t="s">
        <v>1</v>
      </c>
      <c r="E62" s="7" t="s">
        <v>91</v>
      </c>
      <c r="F62" s="7" t="s">
        <v>102</v>
      </c>
      <c r="G62" s="7" t="s">
        <v>114</v>
      </c>
      <c r="H62" s="8" t="str">
        <f>RIGHT(LEFT($A62,2*H$6),2)</f>
        <v>C4</v>
      </c>
      <c r="I62" s="8" t="str">
        <f>RIGHT(LEFT($A62,2*I$6),2)</f>
        <v>D3</v>
      </c>
      <c r="J62" s="8" t="str">
        <f>RIGHT(LEFT($A62,2*J$6),2)</f>
        <v>64</v>
      </c>
      <c r="K62" s="8" t="str">
        <f>RIGHT(LEFT($A62,2*K$6),2)</f>
        <v>80</v>
      </c>
      <c r="L62" s="8" t="str">
        <f>RIGHT(LEFT($A62,2*L$6),2)</f>
        <v>00</v>
      </c>
      <c r="M62" s="8" t="str">
        <f>RIGHT(LEFT($A62,2*M$6),2)</f>
        <v>04</v>
      </c>
      <c r="N62" s="8" t="str">
        <f>RIGHT(LEFT($A62,2*N$6),2)</f>
        <v>10</v>
      </c>
      <c r="O62" s="8" t="str">
        <f>RIGHT(LEFT($A62,2*O$6),2)</f>
        <v>60</v>
      </c>
      <c r="P62" s="8" t="str">
        <f>RIGHT(LEFT($A62,2*P$6),2)</f>
        <v>0C</v>
      </c>
      <c r="Q62" s="8" t="str">
        <f>RIGHT(LEFT($A62,2*Q$6),2)</f>
        <v>A2</v>
      </c>
      <c r="R62" s="8" t="str">
        <f>RIGHT(LEFT($A62,2*R$6),2)</f>
        <v>66</v>
      </c>
      <c r="S62" s="8" t="str">
        <f>RIGHT(LEFT($A62,2*S$6),2)</f>
        <v>00</v>
      </c>
      <c r="T62" s="8" t="str">
        <f>RIGHT(LEFT($A62,2*T$6),2)</f>
        <v>00</v>
      </c>
      <c r="U62" s="8" t="str">
        <f>RIGHT(LEFT($A62,2*U$6),2)</f>
        <v>00</v>
      </c>
      <c r="V62" s="8" t="str">
        <f>RIGHT(LEFT($A62,2*V$6),2)</f>
        <v>00</v>
      </c>
      <c r="W62" s="8" t="str">
        <f>RIGHT(LEFT($A62,2*W$6),2)</f>
        <v>00</v>
      </c>
      <c r="X62" s="8" t="str">
        <f>RIGHT(LEFT($A62,2*X$6),2)</f>
        <v>00</v>
      </c>
      <c r="Y62" s="8" t="str">
        <f>RIGHT(LEFT($A62,2*Y$6),2)</f>
        <v>78</v>
      </c>
      <c r="AB62" s="34" t="str">
        <f t="shared" si="313"/>
        <v>23</v>
      </c>
      <c r="AC62" s="34" t="str">
        <f t="shared" si="314"/>
        <v>CB</v>
      </c>
      <c r="AD62" s="34" t="str">
        <f t="shared" si="315"/>
        <v>26</v>
      </c>
      <c r="AE62" s="34" t="str">
        <f t="shared" si="316"/>
        <v>01</v>
      </c>
      <c r="AF62" s="34" t="str">
        <f t="shared" si="317"/>
        <v>00</v>
      </c>
      <c r="AG62" s="34" t="str">
        <f t="shared" si="318"/>
        <v>20</v>
      </c>
      <c r="AH62" s="34" t="str">
        <f t="shared" si="319"/>
        <v>08</v>
      </c>
      <c r="AI62" s="34" t="str">
        <f t="shared" si="320"/>
        <v>06</v>
      </c>
      <c r="AJ62" s="34" t="str">
        <f t="shared" si="321"/>
        <v>30</v>
      </c>
      <c r="AK62" s="31" t="str">
        <f t="shared" si="322"/>
        <v>45</v>
      </c>
      <c r="AL62" s="34" t="str">
        <f t="shared" si="323"/>
        <v>66</v>
      </c>
      <c r="AM62" s="34" t="str">
        <f t="shared" si="324"/>
        <v>00</v>
      </c>
      <c r="AN62" s="34" t="str">
        <f t="shared" si="325"/>
        <v>00</v>
      </c>
      <c r="AO62" s="34" t="str">
        <f t="shared" si="326"/>
        <v>00</v>
      </c>
      <c r="AP62" s="34" t="str">
        <f t="shared" si="327"/>
        <v>00</v>
      </c>
      <c r="AQ62" s="34" t="str">
        <f t="shared" si="328"/>
        <v>00</v>
      </c>
      <c r="AR62" s="34" t="str">
        <f t="shared" si="329"/>
        <v>00</v>
      </c>
      <c r="AS62" s="34" t="str">
        <f t="shared" si="330"/>
        <v>1E</v>
      </c>
      <c r="AT62" s="34"/>
      <c r="AV62" s="34" t="str">
        <f t="shared" si="331"/>
        <v>00100011</v>
      </c>
      <c r="AW62" s="34" t="str">
        <f t="shared" si="332"/>
        <v>11001011</v>
      </c>
      <c r="AX62" s="34" t="str">
        <f t="shared" si="333"/>
        <v>00100110</v>
      </c>
      <c r="AY62" s="34" t="str">
        <f t="shared" si="334"/>
        <v>00000001</v>
      </c>
      <c r="AZ62" s="34" t="str">
        <f t="shared" si="335"/>
        <v>00000000</v>
      </c>
      <c r="BA62" s="34" t="str">
        <f t="shared" si="336"/>
        <v>00100000</v>
      </c>
      <c r="BB62" s="34" t="str">
        <f t="shared" si="337"/>
        <v>00001000</v>
      </c>
      <c r="BC62" s="34" t="str">
        <f t="shared" si="338"/>
        <v>00000110</v>
      </c>
      <c r="BD62" s="34">
        <f t="shared" si="71"/>
        <v>6</v>
      </c>
      <c r="BE62" s="34" t="str">
        <f t="shared" si="339"/>
        <v>00110000</v>
      </c>
      <c r="BF62" s="31" t="str">
        <f t="shared" si="340"/>
        <v>01000101</v>
      </c>
      <c r="BG62" s="34">
        <f t="shared" si="312"/>
        <v>69</v>
      </c>
      <c r="BH62" s="34" t="str">
        <f t="shared" si="341"/>
        <v>01100110</v>
      </c>
      <c r="BI62" s="34">
        <f t="shared" si="342"/>
        <v>102</v>
      </c>
      <c r="BJ62" s="34" t="str">
        <f t="shared" si="343"/>
        <v>00000000</v>
      </c>
      <c r="BK62" s="34"/>
      <c r="BL62" s="34" t="str">
        <f t="shared" si="344"/>
        <v>00000000</v>
      </c>
      <c r="BM62" s="34"/>
      <c r="BN62" s="34" t="str">
        <f t="shared" si="345"/>
        <v>00000000</v>
      </c>
      <c r="BO62" s="34"/>
      <c r="BP62" s="34" t="str">
        <f t="shared" si="346"/>
        <v>00000000</v>
      </c>
      <c r="BQ62" s="34" t="str">
        <f t="shared" si="347"/>
        <v>00000000</v>
      </c>
      <c r="BR62" s="34" t="str">
        <f t="shared" si="348"/>
        <v>00000000</v>
      </c>
      <c r="BS62" s="34" t="str">
        <f t="shared" si="349"/>
        <v>00011110</v>
      </c>
      <c r="BT62" s="34">
        <f t="shared" si="350"/>
        <v>30</v>
      </c>
    </row>
    <row r="63" spans="1:72" s="7" customFormat="1" x14ac:dyDescent="0.25">
      <c r="A63" s="7" t="s">
        <v>121</v>
      </c>
      <c r="B63" s="33">
        <v>0.66666666666666663</v>
      </c>
      <c r="C63" s="34">
        <v>22</v>
      </c>
      <c r="D63" s="34" t="s">
        <v>1</v>
      </c>
      <c r="E63" s="7" t="s">
        <v>91</v>
      </c>
      <c r="F63" s="7" t="s">
        <v>102</v>
      </c>
      <c r="G63" s="7" t="s">
        <v>114</v>
      </c>
      <c r="H63" s="8" t="str">
        <f t="shared" ref="H63:W78" si="351">RIGHT(LEFT($A63,2*H$6),2)</f>
        <v>C4</v>
      </c>
      <c r="I63" s="8" t="str">
        <f t="shared" si="351"/>
        <v>D3</v>
      </c>
      <c r="J63" s="8" t="str">
        <f t="shared" si="351"/>
        <v>64</v>
      </c>
      <c r="K63" s="8" t="str">
        <f t="shared" si="351"/>
        <v>80</v>
      </c>
      <c r="L63" s="8" t="str">
        <f t="shared" si="351"/>
        <v>00</v>
      </c>
      <c r="M63" s="8" t="str">
        <f t="shared" si="351"/>
        <v>04</v>
      </c>
      <c r="N63" s="8" t="str">
        <f t="shared" si="351"/>
        <v>10</v>
      </c>
      <c r="O63" s="8" t="str">
        <f t="shared" si="351"/>
        <v>60</v>
      </c>
      <c r="P63" s="8" t="str">
        <f t="shared" si="351"/>
        <v>0C</v>
      </c>
      <c r="Q63" s="8" t="str">
        <f t="shared" si="351"/>
        <v>A2</v>
      </c>
      <c r="R63" s="8" t="str">
        <f t="shared" si="351"/>
        <v>06</v>
      </c>
      <c r="S63" s="8" t="str">
        <f t="shared" si="351"/>
        <v>00</v>
      </c>
      <c r="T63" s="8" t="str">
        <f t="shared" si="351"/>
        <v>00</v>
      </c>
      <c r="U63" s="8" t="str">
        <f t="shared" si="351"/>
        <v>00</v>
      </c>
      <c r="V63" s="8" t="str">
        <f t="shared" si="351"/>
        <v>00</v>
      </c>
      <c r="W63" s="8" t="str">
        <f t="shared" si="351"/>
        <v>00</v>
      </c>
      <c r="X63" s="8" t="str">
        <f t="shared" ref="X63:Y78" si="352">RIGHT(LEFT($A63,2*X$6),2)</f>
        <v>00</v>
      </c>
      <c r="Y63" s="8" t="str">
        <f t="shared" si="352"/>
        <v>18</v>
      </c>
      <c r="AB63" s="34" t="str">
        <f t="shared" ref="AB63:AB65" si="353">BIN2HEX(ReverseText(HEX2BIN(H63,8)),2)</f>
        <v>23</v>
      </c>
      <c r="AC63" s="34" t="str">
        <f t="shared" ref="AC63:AC65" si="354">BIN2HEX(ReverseText(HEX2BIN(I63,8)),2)</f>
        <v>CB</v>
      </c>
      <c r="AD63" s="34" t="str">
        <f t="shared" ref="AD63:AD65" si="355">BIN2HEX(ReverseText(HEX2BIN(J63,8)),2)</f>
        <v>26</v>
      </c>
      <c r="AE63" s="34" t="str">
        <f t="shared" ref="AE63:AE65" si="356">BIN2HEX(ReverseText(HEX2BIN(K63,8)),2)</f>
        <v>01</v>
      </c>
      <c r="AF63" s="34" t="str">
        <f t="shared" ref="AF63:AF65" si="357">BIN2HEX(ReverseText(HEX2BIN(L63,8)),2)</f>
        <v>00</v>
      </c>
      <c r="AG63" s="34" t="str">
        <f t="shared" ref="AG63:AG65" si="358">BIN2HEX(ReverseText(HEX2BIN(M63,8)),2)</f>
        <v>20</v>
      </c>
      <c r="AH63" s="34" t="str">
        <f t="shared" ref="AH63:AH65" si="359">BIN2HEX(ReverseText(HEX2BIN(N63,8)),2)</f>
        <v>08</v>
      </c>
      <c r="AI63" s="34" t="str">
        <f t="shared" ref="AI63:AI65" si="360">BIN2HEX(ReverseText(HEX2BIN(O63,8)),2)</f>
        <v>06</v>
      </c>
      <c r="AJ63" s="34" t="str">
        <f t="shared" ref="AJ63:AJ65" si="361">BIN2HEX(ReverseText(HEX2BIN(P63,8)),2)</f>
        <v>30</v>
      </c>
      <c r="AK63" s="31" t="str">
        <f t="shared" ref="AK63:AK65" si="362">BIN2HEX(ReverseText(HEX2BIN(Q63,8)),2)</f>
        <v>45</v>
      </c>
      <c r="AL63" s="34" t="str">
        <f t="shared" ref="AL63:AL65" si="363">BIN2HEX(ReverseText(HEX2BIN(R63,8)),2)</f>
        <v>60</v>
      </c>
      <c r="AM63" s="34" t="str">
        <f t="shared" ref="AM63:AM65" si="364">BIN2HEX(ReverseText(HEX2BIN(S63,8)),2)</f>
        <v>00</v>
      </c>
      <c r="AN63" s="34" t="str">
        <f t="shared" ref="AN63:AN65" si="365">BIN2HEX(ReverseText(HEX2BIN(T63,8)),2)</f>
        <v>00</v>
      </c>
      <c r="AO63" s="34" t="str">
        <f t="shared" ref="AO63:AO65" si="366">BIN2HEX(ReverseText(HEX2BIN(U63,8)),2)</f>
        <v>00</v>
      </c>
      <c r="AP63" s="34" t="str">
        <f t="shared" ref="AP63:AP65" si="367">BIN2HEX(ReverseText(HEX2BIN(V63,8)),2)</f>
        <v>00</v>
      </c>
      <c r="AQ63" s="34" t="str">
        <f t="shared" ref="AQ63:AQ65" si="368">BIN2HEX(ReverseText(HEX2BIN(W63,8)),2)</f>
        <v>00</v>
      </c>
      <c r="AR63" s="34" t="str">
        <f t="shared" ref="AR63:AR65" si="369">BIN2HEX(ReverseText(HEX2BIN(X63,8)),2)</f>
        <v>00</v>
      </c>
      <c r="AS63" s="34" t="str">
        <f t="shared" ref="AS63:AS65" si="370">BIN2HEX(ReverseText(HEX2BIN(Y63,8)),2)</f>
        <v>18</v>
      </c>
      <c r="AT63" s="34"/>
      <c r="AV63" s="34" t="str">
        <f t="shared" ref="AV63:AV65" si="371">HEX2BIN(AB63,8)</f>
        <v>00100011</v>
      </c>
      <c r="AW63" s="34" t="str">
        <f t="shared" ref="AW63:AW65" si="372">HEX2BIN(AC63,8)</f>
        <v>11001011</v>
      </c>
      <c r="AX63" s="34" t="str">
        <f t="shared" ref="AX63:AX65" si="373">HEX2BIN(AD63,8)</f>
        <v>00100110</v>
      </c>
      <c r="AY63" s="34" t="str">
        <f t="shared" ref="AY63:AY65" si="374">HEX2BIN(AE63,8)</f>
        <v>00000001</v>
      </c>
      <c r="AZ63" s="34" t="str">
        <f t="shared" ref="AZ63:AZ65" si="375">HEX2BIN(AF63,8)</f>
        <v>00000000</v>
      </c>
      <c r="BA63" s="34" t="str">
        <f t="shared" ref="BA63:BA65" si="376">HEX2BIN(AG63,8)</f>
        <v>00100000</v>
      </c>
      <c r="BB63" s="34" t="str">
        <f t="shared" ref="BB63:BB65" si="377">HEX2BIN(AH63,8)</f>
        <v>00001000</v>
      </c>
      <c r="BC63" s="34" t="str">
        <f t="shared" ref="BC63:BC65" si="378">HEX2BIN(AI63,8)</f>
        <v>00000110</v>
      </c>
      <c r="BD63" s="34">
        <f t="shared" si="71"/>
        <v>6</v>
      </c>
      <c r="BE63" s="34" t="str">
        <f t="shared" ref="BE63:BE65" si="379">HEX2BIN(AJ63,8)</f>
        <v>00110000</v>
      </c>
      <c r="BF63" s="31" t="str">
        <f t="shared" ref="BF63:BF65" si="380">HEX2BIN(AK63,8)</f>
        <v>01000101</v>
      </c>
      <c r="BG63" s="34">
        <f t="shared" si="312"/>
        <v>69</v>
      </c>
      <c r="BH63" s="34" t="str">
        <f t="shared" ref="BH63:BH65" si="381">HEX2BIN(AL63,8)</f>
        <v>01100000</v>
      </c>
      <c r="BI63" s="34">
        <f t="shared" si="342"/>
        <v>96</v>
      </c>
      <c r="BJ63" s="34" t="str">
        <f t="shared" ref="BJ63:BJ65" si="382">HEX2BIN(AM63,8)</f>
        <v>00000000</v>
      </c>
      <c r="BK63" s="34"/>
      <c r="BL63" s="34" t="str">
        <f t="shared" ref="BL63:BL65" si="383">HEX2BIN(AN63,8)</f>
        <v>00000000</v>
      </c>
      <c r="BM63" s="34"/>
      <c r="BN63" s="34" t="str">
        <f t="shared" ref="BN63:BN65" si="384">HEX2BIN(AO63,8)</f>
        <v>00000000</v>
      </c>
      <c r="BO63" s="34"/>
      <c r="BP63" s="34" t="str">
        <f t="shared" ref="BP63:BP65" si="385">HEX2BIN(AP63,8)</f>
        <v>00000000</v>
      </c>
      <c r="BQ63" s="34" t="str">
        <f t="shared" ref="BQ63:BQ65" si="386">HEX2BIN(AQ63,8)</f>
        <v>00000000</v>
      </c>
      <c r="BR63" s="34" t="str">
        <f t="shared" ref="BR63:BR65" si="387">HEX2BIN(AR63,8)</f>
        <v>00000000</v>
      </c>
      <c r="BS63" s="34" t="str">
        <f t="shared" ref="BS63:BS65" si="388">HEX2BIN(AS63,8)</f>
        <v>00011000</v>
      </c>
      <c r="BT63" s="34">
        <f t="shared" si="350"/>
        <v>24</v>
      </c>
    </row>
    <row r="64" spans="1:72" x14ac:dyDescent="0.25">
      <c r="A64" t="s">
        <v>122</v>
      </c>
      <c r="B64" s="11">
        <v>0.625</v>
      </c>
      <c r="C64" s="16">
        <v>22</v>
      </c>
      <c r="D64" s="16" t="s">
        <v>1</v>
      </c>
      <c r="E64" t="s">
        <v>91</v>
      </c>
      <c r="F64" t="s">
        <v>102</v>
      </c>
      <c r="G64" t="s">
        <v>114</v>
      </c>
      <c r="H64" s="14" t="str">
        <f t="shared" si="351"/>
        <v>C4</v>
      </c>
      <c r="I64" s="14" t="str">
        <f t="shared" si="351"/>
        <v>D3</v>
      </c>
      <c r="J64" s="14" t="str">
        <f t="shared" si="351"/>
        <v>64</v>
      </c>
      <c r="K64" s="14" t="str">
        <f t="shared" si="351"/>
        <v>80</v>
      </c>
      <c r="L64" s="14" t="str">
        <f t="shared" si="351"/>
        <v>00</v>
      </c>
      <c r="M64" s="14" t="str">
        <f t="shared" si="351"/>
        <v>04</v>
      </c>
      <c r="N64" s="14" t="str">
        <f t="shared" si="351"/>
        <v>10</v>
      </c>
      <c r="O64" s="14" t="str">
        <f t="shared" si="351"/>
        <v>60</v>
      </c>
      <c r="P64" s="14" t="str">
        <f t="shared" si="351"/>
        <v>0C</v>
      </c>
      <c r="Q64" s="5" t="str">
        <f t="shared" si="351"/>
        <v>A2</v>
      </c>
      <c r="R64" s="14" t="str">
        <f t="shared" si="351"/>
        <v>5A</v>
      </c>
      <c r="S64" s="14" t="str">
        <f t="shared" si="351"/>
        <v>00</v>
      </c>
      <c r="T64" s="14" t="str">
        <f t="shared" si="351"/>
        <v>00</v>
      </c>
      <c r="U64" s="14" t="str">
        <f t="shared" si="351"/>
        <v>00</v>
      </c>
      <c r="V64" s="14" t="str">
        <f t="shared" si="351"/>
        <v>00</v>
      </c>
      <c r="W64" s="14" t="str">
        <f t="shared" si="351"/>
        <v>00</v>
      </c>
      <c r="X64" s="14" t="str">
        <f t="shared" si="352"/>
        <v>00</v>
      </c>
      <c r="Y64" s="4" t="str">
        <f t="shared" si="352"/>
        <v>48</v>
      </c>
      <c r="AB64" s="16" t="str">
        <f t="shared" si="353"/>
        <v>23</v>
      </c>
      <c r="AC64" s="16" t="str">
        <f t="shared" si="354"/>
        <v>CB</v>
      </c>
      <c r="AD64" s="16" t="str">
        <f t="shared" si="355"/>
        <v>26</v>
      </c>
      <c r="AE64" s="16" t="str">
        <f t="shared" si="356"/>
        <v>01</v>
      </c>
      <c r="AF64" s="16" t="str">
        <f t="shared" si="357"/>
        <v>00</v>
      </c>
      <c r="AG64" s="16" t="str">
        <f t="shared" si="358"/>
        <v>20</v>
      </c>
      <c r="AH64" s="16" t="str">
        <f t="shared" si="359"/>
        <v>08</v>
      </c>
      <c r="AI64" s="16" t="str">
        <f t="shared" si="360"/>
        <v>06</v>
      </c>
      <c r="AJ64" s="16" t="str">
        <f t="shared" si="361"/>
        <v>30</v>
      </c>
      <c r="AK64" s="31" t="str">
        <f t="shared" si="362"/>
        <v>45</v>
      </c>
      <c r="AL64" s="16" t="str">
        <f t="shared" si="363"/>
        <v>5A</v>
      </c>
      <c r="AM64" s="16" t="str">
        <f t="shared" si="364"/>
        <v>00</v>
      </c>
      <c r="AN64" s="16" t="str">
        <f t="shared" si="365"/>
        <v>00</v>
      </c>
      <c r="AO64" s="16" t="str">
        <f t="shared" si="366"/>
        <v>00</v>
      </c>
      <c r="AP64" s="16" t="str">
        <f t="shared" si="367"/>
        <v>00</v>
      </c>
      <c r="AQ64" s="16" t="str">
        <f t="shared" si="368"/>
        <v>00</v>
      </c>
      <c r="AR64" s="16" t="str">
        <f t="shared" si="369"/>
        <v>00</v>
      </c>
      <c r="AS64" s="16" t="str">
        <f t="shared" si="370"/>
        <v>12</v>
      </c>
      <c r="AT64" s="16"/>
      <c r="AV64" s="22" t="str">
        <f t="shared" si="371"/>
        <v>00100011</v>
      </c>
      <c r="AW64" s="22" t="str">
        <f t="shared" si="372"/>
        <v>11001011</v>
      </c>
      <c r="AX64" s="22" t="str">
        <f t="shared" si="373"/>
        <v>00100110</v>
      </c>
      <c r="AY64" s="22" t="str">
        <f t="shared" si="374"/>
        <v>00000001</v>
      </c>
      <c r="AZ64" s="22" t="str">
        <f t="shared" si="375"/>
        <v>00000000</v>
      </c>
      <c r="BA64" s="22" t="str">
        <f t="shared" si="376"/>
        <v>00100000</v>
      </c>
      <c r="BB64" s="22" t="str">
        <f t="shared" si="377"/>
        <v>00001000</v>
      </c>
      <c r="BC64" s="22" t="str">
        <f t="shared" si="378"/>
        <v>00000110</v>
      </c>
      <c r="BD64" s="22">
        <f t="shared" si="71"/>
        <v>6</v>
      </c>
      <c r="BE64" s="22" t="str">
        <f t="shared" si="379"/>
        <v>00110000</v>
      </c>
      <c r="BF64" s="31" t="str">
        <f t="shared" si="380"/>
        <v>01000101</v>
      </c>
      <c r="BG64" s="22">
        <f t="shared" si="312"/>
        <v>69</v>
      </c>
      <c r="BH64" s="22" t="str">
        <f t="shared" si="381"/>
        <v>01011010</v>
      </c>
      <c r="BI64" s="22">
        <f t="shared" si="342"/>
        <v>90</v>
      </c>
      <c r="BJ64" s="22" t="str">
        <f t="shared" si="382"/>
        <v>00000000</v>
      </c>
      <c r="BK64" s="22"/>
      <c r="BL64" s="22" t="str">
        <f t="shared" si="383"/>
        <v>00000000</v>
      </c>
      <c r="BM64" s="22"/>
      <c r="BN64" s="22" t="str">
        <f t="shared" si="384"/>
        <v>00000000</v>
      </c>
      <c r="BO64" s="22"/>
      <c r="BP64" s="22" t="str">
        <f t="shared" si="385"/>
        <v>00000000</v>
      </c>
      <c r="BQ64" s="22" t="str">
        <f t="shared" si="386"/>
        <v>00000000</v>
      </c>
      <c r="BR64" s="22" t="str">
        <f t="shared" si="387"/>
        <v>00000000</v>
      </c>
      <c r="BS64" s="22" t="str">
        <f t="shared" si="388"/>
        <v>00010010</v>
      </c>
      <c r="BT64" s="16">
        <f t="shared" si="350"/>
        <v>18</v>
      </c>
    </row>
    <row r="65" spans="1:72" x14ac:dyDescent="0.25">
      <c r="A65" t="s">
        <v>123</v>
      </c>
      <c r="B65" s="11">
        <v>0.625</v>
      </c>
      <c r="C65" s="16">
        <v>21</v>
      </c>
      <c r="D65" s="16" t="s">
        <v>1</v>
      </c>
      <c r="E65" t="s">
        <v>91</v>
      </c>
      <c r="F65" t="s">
        <v>102</v>
      </c>
      <c r="G65" t="s">
        <v>114</v>
      </c>
      <c r="H65" s="14" t="str">
        <f t="shared" si="351"/>
        <v>C4</v>
      </c>
      <c r="I65" s="14" t="str">
        <f t="shared" si="351"/>
        <v>D3</v>
      </c>
      <c r="J65" s="14" t="str">
        <f t="shared" si="351"/>
        <v>64</v>
      </c>
      <c r="K65" s="14" t="str">
        <f t="shared" si="351"/>
        <v>80</v>
      </c>
      <c r="L65" s="14" t="str">
        <f t="shared" si="351"/>
        <v>00</v>
      </c>
      <c r="M65" s="14" t="str">
        <f t="shared" si="351"/>
        <v>04</v>
      </c>
      <c r="N65" s="14" t="str">
        <f t="shared" si="351"/>
        <v>10</v>
      </c>
      <c r="O65" s="14" t="str">
        <f t="shared" si="351"/>
        <v>A0</v>
      </c>
      <c r="P65" s="14" t="str">
        <f t="shared" si="351"/>
        <v>0C</v>
      </c>
      <c r="Q65" s="5" t="str">
        <f t="shared" si="351"/>
        <v>A2</v>
      </c>
      <c r="R65" s="14" t="str">
        <f t="shared" si="351"/>
        <v>5A</v>
      </c>
      <c r="S65" s="14" t="str">
        <f t="shared" si="351"/>
        <v>00</v>
      </c>
      <c r="T65" s="14" t="str">
        <f t="shared" si="351"/>
        <v>00</v>
      </c>
      <c r="U65" s="14" t="str">
        <f t="shared" si="351"/>
        <v>00</v>
      </c>
      <c r="V65" s="14" t="str">
        <f t="shared" si="351"/>
        <v>00</v>
      </c>
      <c r="W65" s="14" t="str">
        <f t="shared" si="351"/>
        <v>00</v>
      </c>
      <c r="X65" s="14" t="str">
        <f t="shared" si="352"/>
        <v>00</v>
      </c>
      <c r="Y65" s="4" t="str">
        <f t="shared" si="352"/>
        <v>88</v>
      </c>
      <c r="AB65" s="16" t="str">
        <f t="shared" si="353"/>
        <v>23</v>
      </c>
      <c r="AC65" s="16" t="str">
        <f t="shared" si="354"/>
        <v>CB</v>
      </c>
      <c r="AD65" s="16" t="str">
        <f t="shared" si="355"/>
        <v>26</v>
      </c>
      <c r="AE65" s="16" t="str">
        <f t="shared" si="356"/>
        <v>01</v>
      </c>
      <c r="AF65" s="16" t="str">
        <f t="shared" si="357"/>
        <v>00</v>
      </c>
      <c r="AG65" s="16" t="str">
        <f t="shared" si="358"/>
        <v>20</v>
      </c>
      <c r="AH65" s="16" t="str">
        <f t="shared" si="359"/>
        <v>08</v>
      </c>
      <c r="AI65" s="16" t="str">
        <f t="shared" si="360"/>
        <v>05</v>
      </c>
      <c r="AJ65" s="16" t="str">
        <f t="shared" si="361"/>
        <v>30</v>
      </c>
      <c r="AK65" s="31" t="str">
        <f t="shared" si="362"/>
        <v>45</v>
      </c>
      <c r="AL65" s="16" t="str">
        <f t="shared" si="363"/>
        <v>5A</v>
      </c>
      <c r="AM65" s="16" t="str">
        <f t="shared" si="364"/>
        <v>00</v>
      </c>
      <c r="AN65" s="16" t="str">
        <f t="shared" si="365"/>
        <v>00</v>
      </c>
      <c r="AO65" s="16" t="str">
        <f t="shared" si="366"/>
        <v>00</v>
      </c>
      <c r="AP65" s="16" t="str">
        <f t="shared" si="367"/>
        <v>00</v>
      </c>
      <c r="AQ65" s="16" t="str">
        <f t="shared" si="368"/>
        <v>00</v>
      </c>
      <c r="AR65" s="16" t="str">
        <f t="shared" si="369"/>
        <v>00</v>
      </c>
      <c r="AS65" s="16" t="str">
        <f t="shared" si="370"/>
        <v>11</v>
      </c>
      <c r="AT65" s="16"/>
      <c r="AV65" s="22" t="str">
        <f t="shared" si="371"/>
        <v>00100011</v>
      </c>
      <c r="AW65" s="22" t="str">
        <f t="shared" si="372"/>
        <v>11001011</v>
      </c>
      <c r="AX65" s="22" t="str">
        <f t="shared" si="373"/>
        <v>00100110</v>
      </c>
      <c r="AY65" s="22" t="str">
        <f t="shared" si="374"/>
        <v>00000001</v>
      </c>
      <c r="AZ65" s="22" t="str">
        <f t="shared" si="375"/>
        <v>00000000</v>
      </c>
      <c r="BA65" s="22" t="str">
        <f t="shared" si="376"/>
        <v>00100000</v>
      </c>
      <c r="BB65" s="22" t="str">
        <f t="shared" si="377"/>
        <v>00001000</v>
      </c>
      <c r="BC65" s="22" t="str">
        <f t="shared" si="378"/>
        <v>00000101</v>
      </c>
      <c r="BD65" s="22">
        <f t="shared" si="71"/>
        <v>5</v>
      </c>
      <c r="BE65" s="22" t="str">
        <f t="shared" si="379"/>
        <v>00110000</v>
      </c>
      <c r="BF65" s="31" t="str">
        <f t="shared" si="380"/>
        <v>01000101</v>
      </c>
      <c r="BG65" s="22">
        <f t="shared" si="312"/>
        <v>69</v>
      </c>
      <c r="BH65" s="22" t="str">
        <f t="shared" si="381"/>
        <v>01011010</v>
      </c>
      <c r="BI65" s="22">
        <f t="shared" si="342"/>
        <v>90</v>
      </c>
      <c r="BJ65" s="22" t="str">
        <f t="shared" si="382"/>
        <v>00000000</v>
      </c>
      <c r="BK65" s="22"/>
      <c r="BL65" s="22" t="str">
        <f t="shared" si="383"/>
        <v>00000000</v>
      </c>
      <c r="BM65" s="22"/>
      <c r="BN65" s="22" t="str">
        <f t="shared" si="384"/>
        <v>00000000</v>
      </c>
      <c r="BO65" s="22"/>
      <c r="BP65" s="22" t="str">
        <f t="shared" si="385"/>
        <v>00000000</v>
      </c>
      <c r="BQ65" s="22" t="str">
        <f t="shared" si="386"/>
        <v>00000000</v>
      </c>
      <c r="BR65" s="22" t="str">
        <f t="shared" si="387"/>
        <v>00000000</v>
      </c>
      <c r="BS65" s="22" t="str">
        <f t="shared" si="388"/>
        <v>00010001</v>
      </c>
      <c r="BT65" s="16">
        <f t="shared" si="350"/>
        <v>17</v>
      </c>
    </row>
    <row r="66" spans="1:72" x14ac:dyDescent="0.25">
      <c r="A66" t="s">
        <v>122</v>
      </c>
      <c r="B66" s="11">
        <v>0.625</v>
      </c>
      <c r="C66" s="16">
        <v>22</v>
      </c>
      <c r="D66" s="16" t="s">
        <v>1</v>
      </c>
      <c r="E66" t="s">
        <v>91</v>
      </c>
      <c r="F66" t="s">
        <v>102</v>
      </c>
      <c r="G66" t="s">
        <v>114</v>
      </c>
      <c r="H66" s="14" t="str">
        <f t="shared" si="351"/>
        <v>C4</v>
      </c>
      <c r="I66" s="14" t="str">
        <f t="shared" si="351"/>
        <v>D3</v>
      </c>
      <c r="J66" s="14" t="str">
        <f t="shared" si="351"/>
        <v>64</v>
      </c>
      <c r="K66" s="14" t="str">
        <f t="shared" si="351"/>
        <v>80</v>
      </c>
      <c r="L66" s="14" t="str">
        <f t="shared" si="351"/>
        <v>00</v>
      </c>
      <c r="M66" s="14" t="str">
        <f t="shared" si="351"/>
        <v>04</v>
      </c>
      <c r="N66" s="14" t="str">
        <f t="shared" si="351"/>
        <v>10</v>
      </c>
      <c r="O66" s="14" t="str">
        <f t="shared" si="351"/>
        <v>60</v>
      </c>
      <c r="P66" s="14" t="str">
        <f t="shared" si="351"/>
        <v>0C</v>
      </c>
      <c r="Q66" s="5" t="str">
        <f t="shared" si="351"/>
        <v>A2</v>
      </c>
      <c r="R66" s="14" t="str">
        <f t="shared" si="351"/>
        <v>5A</v>
      </c>
      <c r="S66" s="14" t="str">
        <f t="shared" si="351"/>
        <v>00</v>
      </c>
      <c r="T66" s="14" t="str">
        <f t="shared" si="351"/>
        <v>00</v>
      </c>
      <c r="U66" s="14" t="str">
        <f t="shared" si="351"/>
        <v>00</v>
      </c>
      <c r="V66" s="14" t="str">
        <f t="shared" si="351"/>
        <v>00</v>
      </c>
      <c r="W66" s="14" t="str">
        <f t="shared" si="351"/>
        <v>00</v>
      </c>
      <c r="X66" s="14" t="str">
        <f t="shared" si="352"/>
        <v>00</v>
      </c>
      <c r="Y66" s="4" t="str">
        <f t="shared" si="352"/>
        <v>48</v>
      </c>
      <c r="AB66" s="16" t="str">
        <f t="shared" ref="AB66:AB79" si="389">BIN2HEX(ReverseText(HEX2BIN(H66,8)),2)</f>
        <v>23</v>
      </c>
      <c r="AC66" s="16" t="str">
        <f t="shared" ref="AC66:AC79" si="390">BIN2HEX(ReverseText(HEX2BIN(I66,8)),2)</f>
        <v>CB</v>
      </c>
      <c r="AD66" s="16" t="str">
        <f t="shared" ref="AD66:AD79" si="391">BIN2HEX(ReverseText(HEX2BIN(J66,8)),2)</f>
        <v>26</v>
      </c>
      <c r="AE66" s="16" t="str">
        <f t="shared" ref="AE66:AE79" si="392">BIN2HEX(ReverseText(HEX2BIN(K66,8)),2)</f>
        <v>01</v>
      </c>
      <c r="AF66" s="16" t="str">
        <f t="shared" ref="AF66:AF79" si="393">BIN2HEX(ReverseText(HEX2BIN(L66,8)),2)</f>
        <v>00</v>
      </c>
      <c r="AG66" s="16" t="str">
        <f t="shared" ref="AG66:AG79" si="394">BIN2HEX(ReverseText(HEX2BIN(M66,8)),2)</f>
        <v>20</v>
      </c>
      <c r="AH66" s="16" t="str">
        <f t="shared" ref="AH66:AH79" si="395">BIN2HEX(ReverseText(HEX2BIN(N66,8)),2)</f>
        <v>08</v>
      </c>
      <c r="AI66" s="16" t="str">
        <f t="shared" ref="AI66:AI79" si="396">BIN2HEX(ReverseText(HEX2BIN(O66,8)),2)</f>
        <v>06</v>
      </c>
      <c r="AJ66" s="16" t="str">
        <f t="shared" ref="AJ66:AJ79" si="397">BIN2HEX(ReverseText(HEX2BIN(P66,8)),2)</f>
        <v>30</v>
      </c>
      <c r="AK66" s="31" t="str">
        <f t="shared" ref="AK66:AK79" si="398">BIN2HEX(ReverseText(HEX2BIN(Q66,8)),2)</f>
        <v>45</v>
      </c>
      <c r="AL66" s="16" t="str">
        <f t="shared" ref="AL66:AL79" si="399">BIN2HEX(ReverseText(HEX2BIN(R66,8)),2)</f>
        <v>5A</v>
      </c>
      <c r="AM66" s="16" t="str">
        <f t="shared" ref="AM66:AM79" si="400">BIN2HEX(ReverseText(HEX2BIN(S66,8)),2)</f>
        <v>00</v>
      </c>
      <c r="AN66" s="16" t="str">
        <f t="shared" ref="AN66:AN79" si="401">BIN2HEX(ReverseText(HEX2BIN(T66,8)),2)</f>
        <v>00</v>
      </c>
      <c r="AO66" s="16" t="str">
        <f t="shared" ref="AO66:AO79" si="402">BIN2HEX(ReverseText(HEX2BIN(U66,8)),2)</f>
        <v>00</v>
      </c>
      <c r="AP66" s="16" t="str">
        <f t="shared" ref="AP66:AP79" si="403">BIN2HEX(ReverseText(HEX2BIN(V66,8)),2)</f>
        <v>00</v>
      </c>
      <c r="AQ66" s="16" t="str">
        <f t="shared" ref="AQ66:AQ79" si="404">BIN2HEX(ReverseText(HEX2BIN(W66,8)),2)</f>
        <v>00</v>
      </c>
      <c r="AR66" s="16" t="str">
        <f t="shared" ref="AR66:AR79" si="405">BIN2HEX(ReverseText(HEX2BIN(X66,8)),2)</f>
        <v>00</v>
      </c>
      <c r="AS66" s="16" t="str">
        <f t="shared" ref="AS66:AS79" si="406">BIN2HEX(ReverseText(HEX2BIN(Y66,8)),2)</f>
        <v>12</v>
      </c>
      <c r="AT66" s="16"/>
      <c r="AV66" s="22" t="str">
        <f t="shared" ref="AV66:AV79" si="407">HEX2BIN(AB66,8)</f>
        <v>00100011</v>
      </c>
      <c r="AW66" s="22" t="str">
        <f t="shared" ref="AW66:AW79" si="408">HEX2BIN(AC66,8)</f>
        <v>11001011</v>
      </c>
      <c r="AX66" s="22" t="str">
        <f t="shared" ref="AX66:AX79" si="409">HEX2BIN(AD66,8)</f>
        <v>00100110</v>
      </c>
      <c r="AY66" s="22" t="str">
        <f t="shared" ref="AY66:AY79" si="410">HEX2BIN(AE66,8)</f>
        <v>00000001</v>
      </c>
      <c r="AZ66" s="22" t="str">
        <f t="shared" ref="AZ66:AZ79" si="411">HEX2BIN(AF66,8)</f>
        <v>00000000</v>
      </c>
      <c r="BA66" s="22" t="str">
        <f t="shared" ref="BA66:BA79" si="412">HEX2BIN(AG66,8)</f>
        <v>00100000</v>
      </c>
      <c r="BB66" s="22" t="str">
        <f t="shared" ref="BB66:BB79" si="413">HEX2BIN(AH66,8)</f>
        <v>00001000</v>
      </c>
      <c r="BC66" s="22" t="str">
        <f t="shared" ref="BC66:BC79" si="414">HEX2BIN(AI66,8)</f>
        <v>00000110</v>
      </c>
      <c r="BD66" s="22">
        <f t="shared" si="71"/>
        <v>6</v>
      </c>
      <c r="BE66" s="22" t="str">
        <f t="shared" ref="BE66:BE79" si="415">HEX2BIN(AJ66,8)</f>
        <v>00110000</v>
      </c>
      <c r="BF66" s="31" t="str">
        <f t="shared" ref="BF66:BF79" si="416">HEX2BIN(AK66,8)</f>
        <v>01000101</v>
      </c>
      <c r="BG66" s="22">
        <f t="shared" si="312"/>
        <v>69</v>
      </c>
      <c r="BH66" s="22" t="str">
        <f t="shared" ref="BH66:BH79" si="417">HEX2BIN(AL66,8)</f>
        <v>01011010</v>
      </c>
      <c r="BI66" s="22">
        <f t="shared" si="342"/>
        <v>90</v>
      </c>
      <c r="BJ66" s="22" t="str">
        <f t="shared" ref="BJ66:BJ79" si="418">HEX2BIN(AM66,8)</f>
        <v>00000000</v>
      </c>
      <c r="BK66" s="22"/>
      <c r="BL66" s="22" t="str">
        <f t="shared" ref="BL66:BL79" si="419">HEX2BIN(AN66,8)</f>
        <v>00000000</v>
      </c>
      <c r="BM66" s="22"/>
      <c r="BN66" s="22" t="str">
        <f t="shared" ref="BN66:BN79" si="420">HEX2BIN(AO66,8)</f>
        <v>00000000</v>
      </c>
      <c r="BO66" s="22"/>
      <c r="BP66" s="22" t="str">
        <f t="shared" ref="BP66:BP79" si="421">HEX2BIN(AP66,8)</f>
        <v>00000000</v>
      </c>
      <c r="BQ66" s="22" t="str">
        <f t="shared" ref="BQ66:BQ79" si="422">HEX2BIN(AQ66,8)</f>
        <v>00000000</v>
      </c>
      <c r="BR66" s="22" t="str">
        <f t="shared" ref="BR66:BR79" si="423">HEX2BIN(AR66,8)</f>
        <v>00000000</v>
      </c>
      <c r="BS66" s="22" t="str">
        <f t="shared" ref="BS66:BS79" si="424">HEX2BIN(AS66,8)</f>
        <v>00010010</v>
      </c>
      <c r="BT66" s="16">
        <f t="shared" si="350"/>
        <v>18</v>
      </c>
    </row>
    <row r="67" spans="1:72" x14ac:dyDescent="0.25">
      <c r="A67" t="s">
        <v>124</v>
      </c>
      <c r="B67" s="11">
        <v>0.25</v>
      </c>
      <c r="C67" s="16">
        <v>22</v>
      </c>
      <c r="D67" s="16" t="s">
        <v>1</v>
      </c>
      <c r="E67" t="s">
        <v>91</v>
      </c>
      <c r="F67" t="s">
        <v>102</v>
      </c>
      <c r="G67" t="s">
        <v>114</v>
      </c>
      <c r="H67" s="14" t="str">
        <f t="shared" si="351"/>
        <v>C4</v>
      </c>
      <c r="I67" s="14" t="str">
        <f t="shared" si="351"/>
        <v>D3</v>
      </c>
      <c r="J67" s="14" t="str">
        <f t="shared" si="351"/>
        <v>64</v>
      </c>
      <c r="K67" s="14" t="str">
        <f t="shared" si="351"/>
        <v>80</v>
      </c>
      <c r="L67" s="14" t="str">
        <f t="shared" si="351"/>
        <v>00</v>
      </c>
      <c r="M67" s="14" t="str">
        <f t="shared" si="351"/>
        <v>04</v>
      </c>
      <c r="N67" s="14" t="str">
        <f t="shared" si="351"/>
        <v>10</v>
      </c>
      <c r="O67" s="14" t="str">
        <f t="shared" si="351"/>
        <v>60</v>
      </c>
      <c r="P67" s="14" t="str">
        <f t="shared" si="351"/>
        <v>0C</v>
      </c>
      <c r="Q67" s="5" t="str">
        <f t="shared" si="351"/>
        <v>A2</v>
      </c>
      <c r="R67" s="14" t="str">
        <f t="shared" si="351"/>
        <v>24</v>
      </c>
      <c r="S67" s="14" t="str">
        <f t="shared" si="351"/>
        <v>00</v>
      </c>
      <c r="T67" s="14" t="str">
        <f t="shared" si="351"/>
        <v>00</v>
      </c>
      <c r="U67" s="14" t="str">
        <f t="shared" si="351"/>
        <v>00</v>
      </c>
      <c r="V67" s="14" t="str">
        <f t="shared" si="351"/>
        <v>00</v>
      </c>
      <c r="W67" s="14" t="str">
        <f t="shared" si="351"/>
        <v>00</v>
      </c>
      <c r="X67" s="14" t="str">
        <f t="shared" si="352"/>
        <v>00</v>
      </c>
      <c r="Y67" s="4" t="str">
        <f t="shared" si="352"/>
        <v>3B</v>
      </c>
      <c r="AB67" s="16" t="str">
        <f t="shared" si="389"/>
        <v>23</v>
      </c>
      <c r="AC67" s="16" t="str">
        <f t="shared" si="390"/>
        <v>CB</v>
      </c>
      <c r="AD67" s="16" t="str">
        <f t="shared" si="391"/>
        <v>26</v>
      </c>
      <c r="AE67" s="16" t="str">
        <f t="shared" si="392"/>
        <v>01</v>
      </c>
      <c r="AF67" s="16" t="str">
        <f t="shared" si="393"/>
        <v>00</v>
      </c>
      <c r="AG67" s="16" t="str">
        <f t="shared" si="394"/>
        <v>20</v>
      </c>
      <c r="AH67" s="16" t="str">
        <f t="shared" si="395"/>
        <v>08</v>
      </c>
      <c r="AI67" s="16" t="str">
        <f t="shared" si="396"/>
        <v>06</v>
      </c>
      <c r="AJ67" s="16" t="str">
        <f t="shared" si="397"/>
        <v>30</v>
      </c>
      <c r="AK67" s="31" t="str">
        <f t="shared" si="398"/>
        <v>45</v>
      </c>
      <c r="AL67" s="16" t="str">
        <f t="shared" si="399"/>
        <v>24</v>
      </c>
      <c r="AM67" s="16" t="str">
        <f t="shared" si="400"/>
        <v>00</v>
      </c>
      <c r="AN67" s="16" t="str">
        <f t="shared" si="401"/>
        <v>00</v>
      </c>
      <c r="AO67" s="16" t="str">
        <f t="shared" si="402"/>
        <v>00</v>
      </c>
      <c r="AP67" s="16" t="str">
        <f t="shared" si="403"/>
        <v>00</v>
      </c>
      <c r="AQ67" s="16" t="str">
        <f t="shared" si="404"/>
        <v>00</v>
      </c>
      <c r="AR67" s="16" t="str">
        <f t="shared" si="405"/>
        <v>00</v>
      </c>
      <c r="AS67" s="16" t="str">
        <f t="shared" si="406"/>
        <v>DC</v>
      </c>
      <c r="AT67" s="16"/>
      <c r="AV67" s="22" t="str">
        <f t="shared" si="407"/>
        <v>00100011</v>
      </c>
      <c r="AW67" s="22" t="str">
        <f t="shared" si="408"/>
        <v>11001011</v>
      </c>
      <c r="AX67" s="22" t="str">
        <f t="shared" si="409"/>
        <v>00100110</v>
      </c>
      <c r="AY67" s="22" t="str">
        <f t="shared" si="410"/>
        <v>00000001</v>
      </c>
      <c r="AZ67" s="22" t="str">
        <f t="shared" si="411"/>
        <v>00000000</v>
      </c>
      <c r="BA67" s="22" t="str">
        <f t="shared" si="412"/>
        <v>00100000</v>
      </c>
      <c r="BB67" s="22" t="str">
        <f t="shared" si="413"/>
        <v>00001000</v>
      </c>
      <c r="BC67" s="22" t="str">
        <f t="shared" si="414"/>
        <v>00000110</v>
      </c>
      <c r="BD67" s="22">
        <f t="shared" si="71"/>
        <v>6</v>
      </c>
      <c r="BE67" s="22" t="str">
        <f t="shared" si="415"/>
        <v>00110000</v>
      </c>
      <c r="BF67" s="31" t="str">
        <f t="shared" si="416"/>
        <v>01000101</v>
      </c>
      <c r="BG67" s="22">
        <f t="shared" si="312"/>
        <v>69</v>
      </c>
      <c r="BH67" s="22" t="str">
        <f t="shared" si="417"/>
        <v>00100100</v>
      </c>
      <c r="BI67" s="22">
        <f t="shared" si="342"/>
        <v>36</v>
      </c>
      <c r="BJ67" s="22" t="str">
        <f t="shared" si="418"/>
        <v>00000000</v>
      </c>
      <c r="BK67" s="22"/>
      <c r="BL67" s="22" t="str">
        <f t="shared" si="419"/>
        <v>00000000</v>
      </c>
      <c r="BM67" s="22"/>
      <c r="BN67" s="22" t="str">
        <f t="shared" si="420"/>
        <v>00000000</v>
      </c>
      <c r="BO67" s="22"/>
      <c r="BP67" s="22" t="str">
        <f t="shared" si="421"/>
        <v>00000000</v>
      </c>
      <c r="BQ67" s="22" t="str">
        <f t="shared" si="422"/>
        <v>00000000</v>
      </c>
      <c r="BR67" s="22" t="str">
        <f t="shared" si="423"/>
        <v>00000000</v>
      </c>
      <c r="BS67" s="22" t="str">
        <f t="shared" si="424"/>
        <v>11011100</v>
      </c>
      <c r="BT67" s="16">
        <f t="shared" si="350"/>
        <v>220</v>
      </c>
    </row>
    <row r="68" spans="1:72" x14ac:dyDescent="0.25">
      <c r="A68" t="s">
        <v>125</v>
      </c>
      <c r="B68" s="11">
        <v>0</v>
      </c>
      <c r="C68" s="16">
        <v>22</v>
      </c>
      <c r="D68" s="16" t="s">
        <v>1</v>
      </c>
      <c r="E68" t="s">
        <v>91</v>
      </c>
      <c r="F68" t="s">
        <v>102</v>
      </c>
      <c r="G68" t="s">
        <v>114</v>
      </c>
      <c r="H68" s="14" t="str">
        <f t="shared" si="351"/>
        <v>C4</v>
      </c>
      <c r="I68" s="14" t="str">
        <f t="shared" si="351"/>
        <v>D3</v>
      </c>
      <c r="J68" s="14" t="str">
        <f t="shared" si="351"/>
        <v>64</v>
      </c>
      <c r="K68" s="14" t="str">
        <f t="shared" si="351"/>
        <v>80</v>
      </c>
      <c r="L68" s="14" t="str">
        <f t="shared" si="351"/>
        <v>00</v>
      </c>
      <c r="M68" s="14" t="str">
        <f t="shared" si="351"/>
        <v>04</v>
      </c>
      <c r="N68" s="14" t="str">
        <f t="shared" si="351"/>
        <v>10</v>
      </c>
      <c r="O68" s="14" t="str">
        <f t="shared" si="351"/>
        <v>60</v>
      </c>
      <c r="P68" s="14" t="str">
        <f t="shared" si="351"/>
        <v>0C</v>
      </c>
      <c r="Q68" s="5" t="str">
        <f t="shared" si="351"/>
        <v>A2</v>
      </c>
      <c r="R68" s="14" t="str">
        <f t="shared" si="351"/>
        <v>00</v>
      </c>
      <c r="S68" s="14" t="str">
        <f t="shared" si="351"/>
        <v>00</v>
      </c>
      <c r="T68" s="14" t="str">
        <f t="shared" si="351"/>
        <v>00</v>
      </c>
      <c r="U68" s="14" t="str">
        <f t="shared" si="351"/>
        <v>00</v>
      </c>
      <c r="V68" s="14" t="str">
        <f t="shared" si="351"/>
        <v>00</v>
      </c>
      <c r="W68" s="14" t="str">
        <f t="shared" si="351"/>
        <v>00</v>
      </c>
      <c r="X68" s="14" t="str">
        <f t="shared" si="352"/>
        <v>00</v>
      </c>
      <c r="Y68" s="4" t="str">
        <f t="shared" si="352"/>
        <v>1D</v>
      </c>
      <c r="AB68" s="16" t="str">
        <f t="shared" si="389"/>
        <v>23</v>
      </c>
      <c r="AC68" s="16" t="str">
        <f t="shared" si="390"/>
        <v>CB</v>
      </c>
      <c r="AD68" s="16" t="str">
        <f t="shared" si="391"/>
        <v>26</v>
      </c>
      <c r="AE68" s="16" t="str">
        <f t="shared" si="392"/>
        <v>01</v>
      </c>
      <c r="AF68" s="16" t="str">
        <f t="shared" si="393"/>
        <v>00</v>
      </c>
      <c r="AG68" s="16" t="str">
        <f t="shared" si="394"/>
        <v>20</v>
      </c>
      <c r="AH68" s="16" t="str">
        <f t="shared" si="395"/>
        <v>08</v>
      </c>
      <c r="AI68" s="16" t="str">
        <f t="shared" si="396"/>
        <v>06</v>
      </c>
      <c r="AJ68" s="16" t="str">
        <f t="shared" si="397"/>
        <v>30</v>
      </c>
      <c r="AK68" s="31" t="str">
        <f t="shared" si="398"/>
        <v>45</v>
      </c>
      <c r="AL68" s="16" t="str">
        <f t="shared" si="399"/>
        <v>00</v>
      </c>
      <c r="AM68" s="16" t="str">
        <f t="shared" si="400"/>
        <v>00</v>
      </c>
      <c r="AN68" s="16" t="str">
        <f t="shared" si="401"/>
        <v>00</v>
      </c>
      <c r="AO68" s="16" t="str">
        <f t="shared" si="402"/>
        <v>00</v>
      </c>
      <c r="AP68" s="16" t="str">
        <f t="shared" si="403"/>
        <v>00</v>
      </c>
      <c r="AQ68" s="16" t="str">
        <f t="shared" si="404"/>
        <v>00</v>
      </c>
      <c r="AR68" s="16" t="str">
        <f t="shared" si="405"/>
        <v>00</v>
      </c>
      <c r="AS68" s="16" t="str">
        <f t="shared" si="406"/>
        <v>B8</v>
      </c>
      <c r="AT68" s="16"/>
      <c r="AV68" s="22" t="str">
        <f t="shared" si="407"/>
        <v>00100011</v>
      </c>
      <c r="AW68" s="22" t="str">
        <f t="shared" si="408"/>
        <v>11001011</v>
      </c>
      <c r="AX68" s="22" t="str">
        <f t="shared" si="409"/>
        <v>00100110</v>
      </c>
      <c r="AY68" s="22" t="str">
        <f t="shared" si="410"/>
        <v>00000001</v>
      </c>
      <c r="AZ68" s="22" t="str">
        <f t="shared" si="411"/>
        <v>00000000</v>
      </c>
      <c r="BA68" s="22" t="str">
        <f t="shared" si="412"/>
        <v>00100000</v>
      </c>
      <c r="BB68" s="22" t="str">
        <f t="shared" si="413"/>
        <v>00001000</v>
      </c>
      <c r="BC68" s="22" t="str">
        <f t="shared" si="414"/>
        <v>00000110</v>
      </c>
      <c r="BD68" s="22">
        <f t="shared" si="71"/>
        <v>6</v>
      </c>
      <c r="BE68" s="22" t="str">
        <f t="shared" si="415"/>
        <v>00110000</v>
      </c>
      <c r="BF68" s="31" t="str">
        <f t="shared" si="416"/>
        <v>01000101</v>
      </c>
      <c r="BG68" s="22">
        <f t="shared" si="312"/>
        <v>69</v>
      </c>
      <c r="BH68" s="22" t="str">
        <f t="shared" si="417"/>
        <v>00000000</v>
      </c>
      <c r="BI68" s="22">
        <f t="shared" si="342"/>
        <v>0</v>
      </c>
      <c r="BJ68" s="22" t="str">
        <f t="shared" si="418"/>
        <v>00000000</v>
      </c>
      <c r="BK68" s="22"/>
      <c r="BL68" s="22" t="str">
        <f t="shared" si="419"/>
        <v>00000000</v>
      </c>
      <c r="BM68" s="22"/>
      <c r="BN68" s="22" t="str">
        <f t="shared" si="420"/>
        <v>00000000</v>
      </c>
      <c r="BO68" s="22"/>
      <c r="BP68" s="22" t="str">
        <f t="shared" si="421"/>
        <v>00000000</v>
      </c>
      <c r="BQ68" s="22" t="str">
        <f t="shared" si="422"/>
        <v>00000000</v>
      </c>
      <c r="BR68" s="22" t="str">
        <f t="shared" si="423"/>
        <v>00000000</v>
      </c>
      <c r="BS68" s="22" t="str">
        <f t="shared" si="424"/>
        <v>10111000</v>
      </c>
      <c r="BT68" s="16">
        <f t="shared" si="350"/>
        <v>184</v>
      </c>
    </row>
    <row r="69" spans="1:72" x14ac:dyDescent="0.25">
      <c r="A69" t="s">
        <v>126</v>
      </c>
      <c r="B69" s="11">
        <v>0.99930555555555556</v>
      </c>
      <c r="C69" s="16">
        <v>22</v>
      </c>
      <c r="D69" s="16" t="s">
        <v>1</v>
      </c>
      <c r="E69" t="s">
        <v>91</v>
      </c>
      <c r="F69" t="s">
        <v>102</v>
      </c>
      <c r="G69" t="s">
        <v>114</v>
      </c>
      <c r="H69" s="14" t="str">
        <f t="shared" si="351"/>
        <v>C4</v>
      </c>
      <c r="I69" s="14" t="str">
        <f t="shared" si="351"/>
        <v>D3</v>
      </c>
      <c r="J69" s="14" t="str">
        <f t="shared" si="351"/>
        <v>64</v>
      </c>
      <c r="K69" s="14" t="str">
        <f t="shared" si="351"/>
        <v>80</v>
      </c>
      <c r="L69" s="14" t="str">
        <f t="shared" si="351"/>
        <v>00</v>
      </c>
      <c r="M69" s="14" t="str">
        <f t="shared" si="351"/>
        <v>04</v>
      </c>
      <c r="N69" s="14" t="str">
        <f t="shared" si="351"/>
        <v>10</v>
      </c>
      <c r="O69" s="14" t="str">
        <f t="shared" si="351"/>
        <v>60</v>
      </c>
      <c r="P69" s="14" t="str">
        <f t="shared" si="351"/>
        <v>0C</v>
      </c>
      <c r="Q69" s="5" t="str">
        <f t="shared" si="351"/>
        <v>A2</v>
      </c>
      <c r="R69" s="14" t="str">
        <f t="shared" si="351"/>
        <v>F1</v>
      </c>
      <c r="S69" s="14" t="str">
        <f t="shared" si="351"/>
        <v>00</v>
      </c>
      <c r="T69" s="14" t="str">
        <f t="shared" si="351"/>
        <v>00</v>
      </c>
      <c r="U69" s="14" t="str">
        <f t="shared" si="351"/>
        <v>00</v>
      </c>
      <c r="V69" s="14" t="str">
        <f t="shared" si="351"/>
        <v>00</v>
      </c>
      <c r="W69" s="14" t="str">
        <f t="shared" si="351"/>
        <v>00</v>
      </c>
      <c r="X69" s="14" t="str">
        <f t="shared" si="352"/>
        <v>00</v>
      </c>
      <c r="Y69" s="4" t="str">
        <f t="shared" si="352"/>
        <v>E2</v>
      </c>
      <c r="AB69" s="16" t="str">
        <f t="shared" si="389"/>
        <v>23</v>
      </c>
      <c r="AC69" s="16" t="str">
        <f t="shared" si="390"/>
        <v>CB</v>
      </c>
      <c r="AD69" s="16" t="str">
        <f t="shared" si="391"/>
        <v>26</v>
      </c>
      <c r="AE69" s="16" t="str">
        <f t="shared" si="392"/>
        <v>01</v>
      </c>
      <c r="AF69" s="16" t="str">
        <f t="shared" si="393"/>
        <v>00</v>
      </c>
      <c r="AG69" s="16" t="str">
        <f t="shared" si="394"/>
        <v>20</v>
      </c>
      <c r="AH69" s="16" t="str">
        <f t="shared" si="395"/>
        <v>08</v>
      </c>
      <c r="AI69" s="16" t="str">
        <f t="shared" si="396"/>
        <v>06</v>
      </c>
      <c r="AJ69" s="16" t="str">
        <f t="shared" si="397"/>
        <v>30</v>
      </c>
      <c r="AK69" s="31" t="str">
        <f t="shared" si="398"/>
        <v>45</v>
      </c>
      <c r="AL69" s="16" t="str">
        <f t="shared" si="399"/>
        <v>8F</v>
      </c>
      <c r="AM69" s="16" t="str">
        <f t="shared" si="400"/>
        <v>00</v>
      </c>
      <c r="AN69" s="16" t="str">
        <f t="shared" si="401"/>
        <v>00</v>
      </c>
      <c r="AO69" s="16" t="str">
        <f t="shared" si="402"/>
        <v>00</v>
      </c>
      <c r="AP69" s="16" t="str">
        <f t="shared" si="403"/>
        <v>00</v>
      </c>
      <c r="AQ69" s="16" t="str">
        <f t="shared" si="404"/>
        <v>00</v>
      </c>
      <c r="AR69" s="16" t="str">
        <f t="shared" si="405"/>
        <v>00</v>
      </c>
      <c r="AS69" s="16" t="str">
        <f t="shared" si="406"/>
        <v>47</v>
      </c>
      <c r="AT69" s="16"/>
      <c r="AV69" s="22" t="str">
        <f t="shared" si="407"/>
        <v>00100011</v>
      </c>
      <c r="AW69" s="22" t="str">
        <f t="shared" si="408"/>
        <v>11001011</v>
      </c>
      <c r="AX69" s="22" t="str">
        <f t="shared" si="409"/>
        <v>00100110</v>
      </c>
      <c r="AY69" s="22" t="str">
        <f t="shared" si="410"/>
        <v>00000001</v>
      </c>
      <c r="AZ69" s="22" t="str">
        <f t="shared" si="411"/>
        <v>00000000</v>
      </c>
      <c r="BA69" s="22" t="str">
        <f t="shared" si="412"/>
        <v>00100000</v>
      </c>
      <c r="BB69" s="22" t="str">
        <f t="shared" si="413"/>
        <v>00001000</v>
      </c>
      <c r="BC69" s="22" t="str">
        <f t="shared" si="414"/>
        <v>00000110</v>
      </c>
      <c r="BD69" s="22">
        <f t="shared" si="71"/>
        <v>6</v>
      </c>
      <c r="BE69" s="22" t="str">
        <f t="shared" si="415"/>
        <v>00110000</v>
      </c>
      <c r="BF69" s="31" t="str">
        <f t="shared" si="416"/>
        <v>01000101</v>
      </c>
      <c r="BG69" s="22">
        <f t="shared" si="312"/>
        <v>69</v>
      </c>
      <c r="BH69" s="22" t="str">
        <f t="shared" si="417"/>
        <v>10001111</v>
      </c>
      <c r="BI69" s="22">
        <f t="shared" si="342"/>
        <v>143</v>
      </c>
      <c r="BJ69" s="22" t="str">
        <f t="shared" si="418"/>
        <v>00000000</v>
      </c>
      <c r="BK69" s="22">
        <f t="shared" ref="BK69:BM74" si="425">BIN2DEC(BJ69)</f>
        <v>0</v>
      </c>
      <c r="BL69" s="22" t="str">
        <f t="shared" si="419"/>
        <v>00000000</v>
      </c>
      <c r="BM69" s="22">
        <f t="shared" si="425"/>
        <v>0</v>
      </c>
      <c r="BN69" s="22" t="str">
        <f t="shared" si="420"/>
        <v>00000000</v>
      </c>
      <c r="BO69" s="22">
        <f t="shared" ref="BO69:BO75" si="426">BIN2DEC(BN69)</f>
        <v>0</v>
      </c>
      <c r="BP69" s="22" t="str">
        <f t="shared" si="421"/>
        <v>00000000</v>
      </c>
      <c r="BQ69" s="22" t="str">
        <f t="shared" si="422"/>
        <v>00000000</v>
      </c>
      <c r="BR69" s="22" t="str">
        <f t="shared" si="423"/>
        <v>00000000</v>
      </c>
      <c r="BS69" s="22" t="str">
        <f t="shared" si="424"/>
        <v>01000111</v>
      </c>
      <c r="BT69" s="16">
        <f t="shared" si="350"/>
        <v>71</v>
      </c>
    </row>
    <row r="70" spans="1:72" x14ac:dyDescent="0.25">
      <c r="A70" t="s">
        <v>140</v>
      </c>
      <c r="B70" s="11">
        <v>0</v>
      </c>
      <c r="C70" s="16">
        <v>22</v>
      </c>
      <c r="D70" s="16" t="s">
        <v>141</v>
      </c>
      <c r="E70" t="s">
        <v>91</v>
      </c>
      <c r="F70" t="s">
        <v>102</v>
      </c>
      <c r="G70" t="s">
        <v>114</v>
      </c>
      <c r="H70" s="14" t="str">
        <f t="shared" si="351"/>
        <v>C4</v>
      </c>
      <c r="I70" s="14" t="str">
        <f t="shared" si="351"/>
        <v>D3</v>
      </c>
      <c r="J70" s="14" t="str">
        <f t="shared" si="351"/>
        <v>64</v>
      </c>
      <c r="K70" s="14" t="str">
        <f t="shared" si="351"/>
        <v>80</v>
      </c>
      <c r="L70" s="14" t="str">
        <f t="shared" si="351"/>
        <v>00</v>
      </c>
      <c r="M70" s="14" t="str">
        <f t="shared" si="351"/>
        <v>04</v>
      </c>
      <c r="N70" s="14" t="str">
        <f t="shared" si="351"/>
        <v>10</v>
      </c>
      <c r="O70" s="14" t="str">
        <f t="shared" si="351"/>
        <v>60</v>
      </c>
      <c r="P70" s="14" t="str">
        <f t="shared" si="351"/>
        <v>0C</v>
      </c>
      <c r="Q70" s="5" t="str">
        <f t="shared" si="351"/>
        <v>A2</v>
      </c>
      <c r="R70" s="14" t="str">
        <f t="shared" si="351"/>
        <v>00</v>
      </c>
      <c r="S70" s="14" t="str">
        <f t="shared" si="351"/>
        <v>00</v>
      </c>
      <c r="T70" s="14" t="str">
        <f t="shared" si="351"/>
        <v>24</v>
      </c>
      <c r="U70" s="14" t="str">
        <f t="shared" si="351"/>
        <v>A0</v>
      </c>
      <c r="V70" s="14" t="str">
        <f t="shared" si="351"/>
        <v>00</v>
      </c>
      <c r="W70" s="14" t="str">
        <f t="shared" si="351"/>
        <v>00</v>
      </c>
      <c r="X70" s="14" t="str">
        <f t="shared" si="352"/>
        <v>00</v>
      </c>
      <c r="Y70" s="4" t="str">
        <f t="shared" si="352"/>
        <v>87</v>
      </c>
      <c r="AB70" s="16" t="str">
        <f t="shared" si="389"/>
        <v>23</v>
      </c>
      <c r="AC70" s="16" t="str">
        <f t="shared" si="390"/>
        <v>CB</v>
      </c>
      <c r="AD70" s="16" t="str">
        <f t="shared" si="391"/>
        <v>26</v>
      </c>
      <c r="AE70" s="16" t="str">
        <f t="shared" si="392"/>
        <v>01</v>
      </c>
      <c r="AF70" s="16" t="str">
        <f t="shared" si="393"/>
        <v>00</v>
      </c>
      <c r="AG70" s="16" t="str">
        <f t="shared" si="394"/>
        <v>20</v>
      </c>
      <c r="AH70" s="16" t="str">
        <f t="shared" si="395"/>
        <v>08</v>
      </c>
      <c r="AI70" s="16" t="str">
        <f t="shared" si="396"/>
        <v>06</v>
      </c>
      <c r="AJ70" s="16" t="str">
        <f t="shared" si="397"/>
        <v>30</v>
      </c>
      <c r="AK70" s="31" t="str">
        <f t="shared" si="398"/>
        <v>45</v>
      </c>
      <c r="AL70" s="16" t="str">
        <f t="shared" si="399"/>
        <v>00</v>
      </c>
      <c r="AM70" s="16" t="str">
        <f t="shared" si="400"/>
        <v>00</v>
      </c>
      <c r="AN70" s="16" t="str">
        <f t="shared" si="401"/>
        <v>24</v>
      </c>
      <c r="AO70" s="16" t="str">
        <f t="shared" si="402"/>
        <v>05</v>
      </c>
      <c r="AP70" s="16" t="str">
        <f t="shared" si="403"/>
        <v>00</v>
      </c>
      <c r="AQ70" s="16" t="str">
        <f t="shared" si="404"/>
        <v>00</v>
      </c>
      <c r="AR70" s="16" t="str">
        <f t="shared" si="405"/>
        <v>00</v>
      </c>
      <c r="AS70" s="16" t="str">
        <f t="shared" si="406"/>
        <v>E1</v>
      </c>
      <c r="AT70" s="16"/>
      <c r="AV70" s="22" t="str">
        <f t="shared" si="407"/>
        <v>00100011</v>
      </c>
      <c r="AW70" s="22" t="str">
        <f t="shared" si="408"/>
        <v>11001011</v>
      </c>
      <c r="AX70" s="22" t="str">
        <f t="shared" si="409"/>
        <v>00100110</v>
      </c>
      <c r="AY70" s="22" t="str">
        <f t="shared" si="410"/>
        <v>00000001</v>
      </c>
      <c r="AZ70" s="22" t="str">
        <f t="shared" si="411"/>
        <v>00000000</v>
      </c>
      <c r="BA70" s="22" t="str">
        <f t="shared" si="412"/>
        <v>00100000</v>
      </c>
      <c r="BB70" s="22" t="str">
        <f t="shared" si="413"/>
        <v>00001000</v>
      </c>
      <c r="BC70" s="22" t="str">
        <f t="shared" si="414"/>
        <v>00000110</v>
      </c>
      <c r="BD70" s="22">
        <f t="shared" si="71"/>
        <v>6</v>
      </c>
      <c r="BE70" s="22" t="str">
        <f t="shared" si="415"/>
        <v>00110000</v>
      </c>
      <c r="BF70" s="31" t="str">
        <f t="shared" si="416"/>
        <v>01000101</v>
      </c>
      <c r="BG70" s="22">
        <f t="shared" si="312"/>
        <v>69</v>
      </c>
      <c r="BH70" s="22" t="str">
        <f t="shared" si="417"/>
        <v>00000000</v>
      </c>
      <c r="BI70" s="22">
        <f t="shared" si="342"/>
        <v>0</v>
      </c>
      <c r="BJ70" s="22" t="str">
        <f t="shared" si="418"/>
        <v>00000000</v>
      </c>
      <c r="BK70" s="22">
        <f t="shared" si="425"/>
        <v>0</v>
      </c>
      <c r="BL70" s="22" t="str">
        <f t="shared" si="419"/>
        <v>00100100</v>
      </c>
      <c r="BM70" s="22">
        <f t="shared" si="425"/>
        <v>36</v>
      </c>
      <c r="BN70" s="22" t="str">
        <f t="shared" si="420"/>
        <v>00000101</v>
      </c>
      <c r="BO70" s="22">
        <f t="shared" si="426"/>
        <v>5</v>
      </c>
      <c r="BP70" s="22" t="str">
        <f t="shared" si="421"/>
        <v>00000000</v>
      </c>
      <c r="BQ70" s="22" t="str">
        <f t="shared" si="422"/>
        <v>00000000</v>
      </c>
      <c r="BR70" s="22" t="str">
        <f t="shared" si="423"/>
        <v>00000000</v>
      </c>
      <c r="BS70" s="22" t="str">
        <f t="shared" si="424"/>
        <v>11100001</v>
      </c>
      <c r="BT70" s="16">
        <f t="shared" si="350"/>
        <v>225</v>
      </c>
    </row>
    <row r="71" spans="1:72" x14ac:dyDescent="0.25">
      <c r="A71" t="s">
        <v>142</v>
      </c>
      <c r="B71" s="11">
        <v>2.0833333333333333E-3</v>
      </c>
      <c r="C71" s="16">
        <v>22</v>
      </c>
      <c r="D71" s="16" t="s">
        <v>143</v>
      </c>
      <c r="E71" t="s">
        <v>91</v>
      </c>
      <c r="F71" t="s">
        <v>102</v>
      </c>
      <c r="G71" t="s">
        <v>114</v>
      </c>
      <c r="H71" s="14" t="str">
        <f t="shared" si="351"/>
        <v>C4</v>
      </c>
      <c r="I71" s="14" t="str">
        <f t="shared" si="351"/>
        <v>D3</v>
      </c>
      <c r="J71" s="14" t="str">
        <f t="shared" si="351"/>
        <v>64</v>
      </c>
      <c r="K71" s="14" t="str">
        <f t="shared" si="351"/>
        <v>80</v>
      </c>
      <c r="L71" s="14" t="str">
        <f t="shared" si="351"/>
        <v>00</v>
      </c>
      <c r="M71" s="14" t="str">
        <f t="shared" si="351"/>
        <v>04</v>
      </c>
      <c r="N71" s="14" t="str">
        <f t="shared" si="351"/>
        <v>10</v>
      </c>
      <c r="O71" s="14" t="str">
        <f t="shared" si="351"/>
        <v>60</v>
      </c>
      <c r="P71" s="14" t="str">
        <f t="shared" si="351"/>
        <v>0C</v>
      </c>
      <c r="Q71" s="5" t="str">
        <f t="shared" si="351"/>
        <v>A2</v>
      </c>
      <c r="R71" s="14" t="str">
        <f t="shared" si="351"/>
        <v>00</v>
      </c>
      <c r="S71" s="14" t="str">
        <f t="shared" si="351"/>
        <v>00</v>
      </c>
      <c r="T71" s="14" t="str">
        <f t="shared" si="351"/>
        <v>E4</v>
      </c>
      <c r="U71" s="14" t="str">
        <f t="shared" si="351"/>
        <v>A0</v>
      </c>
      <c r="V71" s="14" t="str">
        <f t="shared" si="351"/>
        <v>00</v>
      </c>
      <c r="W71" s="14" t="str">
        <f t="shared" si="351"/>
        <v>00</v>
      </c>
      <c r="X71" s="14" t="str">
        <f t="shared" si="352"/>
        <v>00</v>
      </c>
      <c r="Y71" s="4" t="str">
        <f t="shared" si="352"/>
        <v>27</v>
      </c>
      <c r="AB71" s="16" t="str">
        <f t="shared" si="389"/>
        <v>23</v>
      </c>
      <c r="AC71" s="16" t="str">
        <f t="shared" si="390"/>
        <v>CB</v>
      </c>
      <c r="AD71" s="16" t="str">
        <f t="shared" si="391"/>
        <v>26</v>
      </c>
      <c r="AE71" s="16" t="str">
        <f t="shared" si="392"/>
        <v>01</v>
      </c>
      <c r="AF71" s="16" t="str">
        <f t="shared" si="393"/>
        <v>00</v>
      </c>
      <c r="AG71" s="16" t="str">
        <f t="shared" si="394"/>
        <v>20</v>
      </c>
      <c r="AH71" s="16" t="str">
        <f t="shared" si="395"/>
        <v>08</v>
      </c>
      <c r="AI71" s="16" t="str">
        <f t="shared" si="396"/>
        <v>06</v>
      </c>
      <c r="AJ71" s="16" t="str">
        <f t="shared" si="397"/>
        <v>30</v>
      </c>
      <c r="AK71" s="31" t="str">
        <f t="shared" si="398"/>
        <v>45</v>
      </c>
      <c r="AL71" s="16" t="str">
        <f t="shared" si="399"/>
        <v>00</v>
      </c>
      <c r="AM71" s="16" t="str">
        <f t="shared" si="400"/>
        <v>00</v>
      </c>
      <c r="AN71" s="16" t="str">
        <f t="shared" si="401"/>
        <v>27</v>
      </c>
      <c r="AO71" s="16" t="str">
        <f t="shared" si="402"/>
        <v>05</v>
      </c>
      <c r="AP71" s="16" t="str">
        <f t="shared" si="403"/>
        <v>00</v>
      </c>
      <c r="AQ71" s="16" t="str">
        <f t="shared" si="404"/>
        <v>00</v>
      </c>
      <c r="AR71" s="16" t="str">
        <f t="shared" si="405"/>
        <v>00</v>
      </c>
      <c r="AS71" s="16" t="str">
        <f t="shared" si="406"/>
        <v>E4</v>
      </c>
      <c r="AT71" s="16"/>
      <c r="AV71" s="22" t="str">
        <f t="shared" si="407"/>
        <v>00100011</v>
      </c>
      <c r="AW71" s="22" t="str">
        <f t="shared" si="408"/>
        <v>11001011</v>
      </c>
      <c r="AX71" s="22" t="str">
        <f t="shared" si="409"/>
        <v>00100110</v>
      </c>
      <c r="AY71" s="22" t="str">
        <f t="shared" si="410"/>
        <v>00000001</v>
      </c>
      <c r="AZ71" s="22" t="str">
        <f t="shared" si="411"/>
        <v>00000000</v>
      </c>
      <c r="BA71" s="22" t="str">
        <f t="shared" si="412"/>
        <v>00100000</v>
      </c>
      <c r="BB71" s="22" t="str">
        <f t="shared" si="413"/>
        <v>00001000</v>
      </c>
      <c r="BC71" s="22" t="str">
        <f t="shared" si="414"/>
        <v>00000110</v>
      </c>
      <c r="BD71" s="22">
        <f t="shared" si="71"/>
        <v>6</v>
      </c>
      <c r="BE71" s="22" t="str">
        <f t="shared" si="415"/>
        <v>00110000</v>
      </c>
      <c r="BF71" s="31" t="str">
        <f t="shared" si="416"/>
        <v>01000101</v>
      </c>
      <c r="BG71" s="22">
        <f t="shared" si="312"/>
        <v>69</v>
      </c>
      <c r="BH71" s="22" t="str">
        <f t="shared" si="417"/>
        <v>00000000</v>
      </c>
      <c r="BI71" s="22">
        <f t="shared" si="342"/>
        <v>0</v>
      </c>
      <c r="BJ71" s="22" t="str">
        <f t="shared" si="418"/>
        <v>00000000</v>
      </c>
      <c r="BK71" s="22">
        <f t="shared" si="425"/>
        <v>0</v>
      </c>
      <c r="BL71" s="22" t="str">
        <f t="shared" si="419"/>
        <v>00100111</v>
      </c>
      <c r="BM71" s="22">
        <f t="shared" si="425"/>
        <v>39</v>
      </c>
      <c r="BN71" s="22" t="str">
        <f t="shared" si="420"/>
        <v>00000101</v>
      </c>
      <c r="BO71" s="22">
        <f t="shared" si="426"/>
        <v>5</v>
      </c>
      <c r="BP71" s="22" t="str">
        <f t="shared" si="421"/>
        <v>00000000</v>
      </c>
      <c r="BQ71" s="22" t="str">
        <f t="shared" si="422"/>
        <v>00000000</v>
      </c>
      <c r="BR71" s="22" t="str">
        <f t="shared" si="423"/>
        <v>00000000</v>
      </c>
      <c r="BS71" s="22" t="str">
        <f t="shared" si="424"/>
        <v>11100100</v>
      </c>
      <c r="BT71" s="16">
        <f t="shared" si="350"/>
        <v>228</v>
      </c>
    </row>
    <row r="72" spans="1:72" x14ac:dyDescent="0.25">
      <c r="A72" t="s">
        <v>144</v>
      </c>
      <c r="B72" s="11">
        <v>2.0833333333333333E-3</v>
      </c>
      <c r="C72" s="16">
        <v>22</v>
      </c>
      <c r="D72" s="16" t="s">
        <v>147</v>
      </c>
      <c r="E72" t="s">
        <v>91</v>
      </c>
      <c r="F72" t="s">
        <v>102</v>
      </c>
      <c r="G72" t="s">
        <v>114</v>
      </c>
      <c r="H72" s="14" t="str">
        <f t="shared" si="351"/>
        <v>C4</v>
      </c>
      <c r="I72" s="14" t="str">
        <f t="shared" si="351"/>
        <v>D3</v>
      </c>
      <c r="J72" s="14" t="str">
        <f t="shared" si="351"/>
        <v>64</v>
      </c>
      <c r="K72" s="14" t="str">
        <f t="shared" si="351"/>
        <v>80</v>
      </c>
      <c r="L72" s="14" t="str">
        <f t="shared" si="351"/>
        <v>00</v>
      </c>
      <c r="M72" s="14" t="str">
        <f t="shared" si="351"/>
        <v>04</v>
      </c>
      <c r="N72" s="14" t="str">
        <f t="shared" si="351"/>
        <v>10</v>
      </c>
      <c r="O72" s="14" t="str">
        <f t="shared" si="351"/>
        <v>60</v>
      </c>
      <c r="P72" s="14" t="str">
        <f t="shared" si="351"/>
        <v>0C</v>
      </c>
      <c r="Q72" s="5" t="str">
        <f t="shared" si="351"/>
        <v>A2</v>
      </c>
      <c r="R72" s="14" t="str">
        <f t="shared" si="351"/>
        <v>00</v>
      </c>
      <c r="S72" s="14" t="str">
        <f t="shared" si="351"/>
        <v>00</v>
      </c>
      <c r="T72" s="14" t="str">
        <f t="shared" si="351"/>
        <v>14</v>
      </c>
      <c r="U72" s="14" t="str">
        <f t="shared" si="351"/>
        <v>A0</v>
      </c>
      <c r="V72" s="14" t="str">
        <f t="shared" si="351"/>
        <v>00</v>
      </c>
      <c r="W72" s="14" t="str">
        <f t="shared" si="351"/>
        <v>00</v>
      </c>
      <c r="X72" s="14" t="str">
        <f t="shared" si="352"/>
        <v>00</v>
      </c>
      <c r="Y72" s="4" t="str">
        <f t="shared" si="352"/>
        <v>A7</v>
      </c>
      <c r="AB72" s="16" t="str">
        <f t="shared" si="389"/>
        <v>23</v>
      </c>
      <c r="AC72" s="16" t="str">
        <f t="shared" si="390"/>
        <v>CB</v>
      </c>
      <c r="AD72" s="16" t="str">
        <f t="shared" si="391"/>
        <v>26</v>
      </c>
      <c r="AE72" s="16" t="str">
        <f t="shared" si="392"/>
        <v>01</v>
      </c>
      <c r="AF72" s="16" t="str">
        <f t="shared" si="393"/>
        <v>00</v>
      </c>
      <c r="AG72" s="16" t="str">
        <f t="shared" si="394"/>
        <v>20</v>
      </c>
      <c r="AH72" s="16" t="str">
        <f t="shared" si="395"/>
        <v>08</v>
      </c>
      <c r="AI72" s="16" t="str">
        <f t="shared" si="396"/>
        <v>06</v>
      </c>
      <c r="AJ72" s="16" t="str">
        <f t="shared" si="397"/>
        <v>30</v>
      </c>
      <c r="AK72" s="31" t="str">
        <f t="shared" si="398"/>
        <v>45</v>
      </c>
      <c r="AL72" s="16" t="str">
        <f t="shared" si="399"/>
        <v>00</v>
      </c>
      <c r="AM72" s="16" t="str">
        <f t="shared" si="400"/>
        <v>00</v>
      </c>
      <c r="AN72" s="16" t="str">
        <f t="shared" si="401"/>
        <v>28</v>
      </c>
      <c r="AO72" s="16" t="str">
        <f t="shared" si="402"/>
        <v>05</v>
      </c>
      <c r="AP72" s="16" t="str">
        <f t="shared" si="403"/>
        <v>00</v>
      </c>
      <c r="AQ72" s="16" t="str">
        <f t="shared" si="404"/>
        <v>00</v>
      </c>
      <c r="AR72" s="16" t="str">
        <f t="shared" si="405"/>
        <v>00</v>
      </c>
      <c r="AS72" s="16" t="str">
        <f t="shared" si="406"/>
        <v>E5</v>
      </c>
      <c r="AT72" s="16"/>
      <c r="AV72" s="22" t="str">
        <f t="shared" si="407"/>
        <v>00100011</v>
      </c>
      <c r="AW72" s="22" t="str">
        <f t="shared" si="408"/>
        <v>11001011</v>
      </c>
      <c r="AX72" s="22" t="str">
        <f t="shared" si="409"/>
        <v>00100110</v>
      </c>
      <c r="AY72" s="22" t="str">
        <f t="shared" si="410"/>
        <v>00000001</v>
      </c>
      <c r="AZ72" s="22" t="str">
        <f t="shared" si="411"/>
        <v>00000000</v>
      </c>
      <c r="BA72" s="22" t="str">
        <f t="shared" si="412"/>
        <v>00100000</v>
      </c>
      <c r="BB72" s="22" t="str">
        <f t="shared" si="413"/>
        <v>00001000</v>
      </c>
      <c r="BC72" s="22" t="str">
        <f t="shared" si="414"/>
        <v>00000110</v>
      </c>
      <c r="BD72" s="22">
        <f t="shared" si="71"/>
        <v>6</v>
      </c>
      <c r="BE72" s="22" t="str">
        <f t="shared" si="415"/>
        <v>00110000</v>
      </c>
      <c r="BF72" s="31" t="str">
        <f t="shared" si="416"/>
        <v>01000101</v>
      </c>
      <c r="BG72" s="22">
        <f t="shared" si="312"/>
        <v>69</v>
      </c>
      <c r="BH72" s="22" t="str">
        <f t="shared" si="417"/>
        <v>00000000</v>
      </c>
      <c r="BI72" s="22">
        <f t="shared" si="342"/>
        <v>0</v>
      </c>
      <c r="BJ72" s="22" t="str">
        <f t="shared" si="418"/>
        <v>00000000</v>
      </c>
      <c r="BK72" s="22">
        <f t="shared" si="425"/>
        <v>0</v>
      </c>
      <c r="BL72" s="22" t="str">
        <f t="shared" si="419"/>
        <v>00101000</v>
      </c>
      <c r="BM72" s="22">
        <f t="shared" si="425"/>
        <v>40</v>
      </c>
      <c r="BN72" s="22" t="str">
        <f t="shared" si="420"/>
        <v>00000101</v>
      </c>
      <c r="BO72" s="22">
        <f t="shared" si="426"/>
        <v>5</v>
      </c>
      <c r="BP72" s="22" t="str">
        <f t="shared" si="421"/>
        <v>00000000</v>
      </c>
      <c r="BQ72" s="22" t="str">
        <f t="shared" si="422"/>
        <v>00000000</v>
      </c>
      <c r="BR72" s="22" t="str">
        <f t="shared" si="423"/>
        <v>00000000</v>
      </c>
      <c r="BS72" s="22" t="str">
        <f t="shared" si="424"/>
        <v>11100101</v>
      </c>
      <c r="BT72" s="16">
        <f t="shared" si="350"/>
        <v>229</v>
      </c>
    </row>
    <row r="73" spans="1:72" x14ac:dyDescent="0.25">
      <c r="A73" t="s">
        <v>145</v>
      </c>
      <c r="B73" s="11">
        <v>2.0833333333333333E-3</v>
      </c>
      <c r="C73" s="16">
        <v>22</v>
      </c>
      <c r="D73" s="16" t="s">
        <v>146</v>
      </c>
      <c r="E73" t="s">
        <v>91</v>
      </c>
      <c r="F73" t="s">
        <v>102</v>
      </c>
      <c r="G73" t="s">
        <v>114</v>
      </c>
      <c r="H73" s="14" t="str">
        <f t="shared" si="351"/>
        <v>C4</v>
      </c>
      <c r="I73" s="14" t="str">
        <f t="shared" si="351"/>
        <v>D3</v>
      </c>
      <c r="J73" s="14" t="str">
        <f t="shared" si="351"/>
        <v>64</v>
      </c>
      <c r="K73" s="14" t="str">
        <f t="shared" si="351"/>
        <v>80</v>
      </c>
      <c r="L73" s="14" t="str">
        <f t="shared" si="351"/>
        <v>00</v>
      </c>
      <c r="M73" s="14" t="str">
        <f t="shared" si="351"/>
        <v>04</v>
      </c>
      <c r="N73" s="14" t="str">
        <f t="shared" si="351"/>
        <v>10</v>
      </c>
      <c r="O73" s="14" t="str">
        <f t="shared" si="351"/>
        <v>60</v>
      </c>
      <c r="P73" s="14" t="str">
        <f t="shared" si="351"/>
        <v>0C</v>
      </c>
      <c r="Q73" s="5" t="str">
        <f t="shared" si="351"/>
        <v>A2</v>
      </c>
      <c r="R73" s="14" t="str">
        <f t="shared" si="351"/>
        <v>00</v>
      </c>
      <c r="S73" s="14" t="str">
        <f t="shared" si="351"/>
        <v>00</v>
      </c>
      <c r="T73" s="14" t="str">
        <f t="shared" si="351"/>
        <v>94</v>
      </c>
      <c r="U73" s="14" t="str">
        <f t="shared" si="351"/>
        <v>A0</v>
      </c>
      <c r="V73" s="14" t="str">
        <f t="shared" si="351"/>
        <v>00</v>
      </c>
      <c r="W73" s="14" t="str">
        <f t="shared" si="351"/>
        <v>00</v>
      </c>
      <c r="X73" s="14" t="str">
        <f t="shared" si="352"/>
        <v>00</v>
      </c>
      <c r="Y73" s="4" t="str">
        <f t="shared" si="352"/>
        <v>67</v>
      </c>
      <c r="AB73" s="16" t="str">
        <f t="shared" si="389"/>
        <v>23</v>
      </c>
      <c r="AC73" s="16" t="str">
        <f t="shared" si="390"/>
        <v>CB</v>
      </c>
      <c r="AD73" s="16" t="str">
        <f t="shared" si="391"/>
        <v>26</v>
      </c>
      <c r="AE73" s="16" t="str">
        <f t="shared" si="392"/>
        <v>01</v>
      </c>
      <c r="AF73" s="16" t="str">
        <f t="shared" si="393"/>
        <v>00</v>
      </c>
      <c r="AG73" s="16" t="str">
        <f t="shared" si="394"/>
        <v>20</v>
      </c>
      <c r="AH73" s="16" t="str">
        <f t="shared" si="395"/>
        <v>08</v>
      </c>
      <c r="AI73" s="16" t="str">
        <f t="shared" si="396"/>
        <v>06</v>
      </c>
      <c r="AJ73" s="16" t="str">
        <f t="shared" si="397"/>
        <v>30</v>
      </c>
      <c r="AK73" s="31" t="str">
        <f t="shared" si="398"/>
        <v>45</v>
      </c>
      <c r="AL73" s="16" t="str">
        <f t="shared" si="399"/>
        <v>00</v>
      </c>
      <c r="AM73" s="16" t="str">
        <f t="shared" si="400"/>
        <v>00</v>
      </c>
      <c r="AN73" s="16" t="str">
        <f t="shared" si="401"/>
        <v>29</v>
      </c>
      <c r="AO73" s="16" t="str">
        <f t="shared" si="402"/>
        <v>05</v>
      </c>
      <c r="AP73" s="16" t="str">
        <f t="shared" si="403"/>
        <v>00</v>
      </c>
      <c r="AQ73" s="16" t="str">
        <f t="shared" si="404"/>
        <v>00</v>
      </c>
      <c r="AR73" s="16" t="str">
        <f t="shared" si="405"/>
        <v>00</v>
      </c>
      <c r="AS73" s="16" t="str">
        <f t="shared" si="406"/>
        <v>E6</v>
      </c>
      <c r="AT73" s="16"/>
      <c r="AV73" s="22" t="str">
        <f t="shared" si="407"/>
        <v>00100011</v>
      </c>
      <c r="AW73" s="22" t="str">
        <f t="shared" si="408"/>
        <v>11001011</v>
      </c>
      <c r="AX73" s="22" t="str">
        <f t="shared" si="409"/>
        <v>00100110</v>
      </c>
      <c r="AY73" s="22" t="str">
        <f t="shared" si="410"/>
        <v>00000001</v>
      </c>
      <c r="AZ73" s="22" t="str">
        <f t="shared" si="411"/>
        <v>00000000</v>
      </c>
      <c r="BA73" s="22" t="str">
        <f t="shared" si="412"/>
        <v>00100000</v>
      </c>
      <c r="BB73" s="22" t="str">
        <f t="shared" si="413"/>
        <v>00001000</v>
      </c>
      <c r="BC73" s="22" t="str">
        <f t="shared" si="414"/>
        <v>00000110</v>
      </c>
      <c r="BD73" s="22">
        <f t="shared" si="71"/>
        <v>6</v>
      </c>
      <c r="BE73" s="22" t="str">
        <f t="shared" si="415"/>
        <v>00110000</v>
      </c>
      <c r="BF73" s="31" t="str">
        <f t="shared" si="416"/>
        <v>01000101</v>
      </c>
      <c r="BG73" s="22">
        <f t="shared" si="312"/>
        <v>69</v>
      </c>
      <c r="BH73" s="22" t="str">
        <f t="shared" si="417"/>
        <v>00000000</v>
      </c>
      <c r="BI73" s="22">
        <f t="shared" si="342"/>
        <v>0</v>
      </c>
      <c r="BJ73" s="22" t="str">
        <f t="shared" si="418"/>
        <v>00000000</v>
      </c>
      <c r="BK73" s="22">
        <f t="shared" si="425"/>
        <v>0</v>
      </c>
      <c r="BL73" s="22" t="str">
        <f t="shared" si="419"/>
        <v>00101001</v>
      </c>
      <c r="BM73" s="22">
        <f t="shared" si="425"/>
        <v>41</v>
      </c>
      <c r="BN73" s="22" t="str">
        <f t="shared" si="420"/>
        <v>00000101</v>
      </c>
      <c r="BO73" s="22">
        <f t="shared" si="426"/>
        <v>5</v>
      </c>
      <c r="BP73" s="22" t="str">
        <f t="shared" si="421"/>
        <v>00000000</v>
      </c>
      <c r="BQ73" s="22" t="str">
        <f t="shared" si="422"/>
        <v>00000000</v>
      </c>
      <c r="BR73" s="22" t="str">
        <f t="shared" si="423"/>
        <v>00000000</v>
      </c>
      <c r="BS73" s="22" t="str">
        <f t="shared" si="424"/>
        <v>11100110</v>
      </c>
      <c r="BT73" s="16">
        <f t="shared" si="350"/>
        <v>230</v>
      </c>
    </row>
    <row r="74" spans="1:72" x14ac:dyDescent="0.25">
      <c r="A74" t="s">
        <v>148</v>
      </c>
      <c r="B74" s="11">
        <v>2.0833333333333333E-3</v>
      </c>
      <c r="C74" s="16">
        <v>22</v>
      </c>
      <c r="D74" s="16" t="s">
        <v>149</v>
      </c>
      <c r="E74" t="s">
        <v>91</v>
      </c>
      <c r="F74" t="s">
        <v>102</v>
      </c>
      <c r="G74" t="s">
        <v>114</v>
      </c>
      <c r="H74" s="14" t="str">
        <f t="shared" si="351"/>
        <v>C4</v>
      </c>
      <c r="I74" s="14" t="str">
        <f t="shared" si="351"/>
        <v>D3</v>
      </c>
      <c r="J74" s="14" t="str">
        <f t="shared" si="351"/>
        <v>64</v>
      </c>
      <c r="K74" s="14" t="str">
        <f t="shared" si="351"/>
        <v>80</v>
      </c>
      <c r="L74" s="14" t="str">
        <f t="shared" si="351"/>
        <v>00</v>
      </c>
      <c r="M74" s="14" t="str">
        <f t="shared" si="351"/>
        <v>04</v>
      </c>
      <c r="N74" s="14" t="str">
        <f t="shared" si="351"/>
        <v>10</v>
      </c>
      <c r="O74" s="14" t="str">
        <f t="shared" si="351"/>
        <v>60</v>
      </c>
      <c r="P74" s="14" t="str">
        <f t="shared" si="351"/>
        <v>0C</v>
      </c>
      <c r="Q74" s="5" t="str">
        <f t="shared" si="351"/>
        <v>A2</v>
      </c>
      <c r="R74" s="14" t="str">
        <f t="shared" si="351"/>
        <v>00</v>
      </c>
      <c r="S74" s="14" t="str">
        <f t="shared" si="351"/>
        <v>21</v>
      </c>
      <c r="T74" s="14" t="str">
        <f t="shared" si="351"/>
        <v>94</v>
      </c>
      <c r="U74" s="14" t="str">
        <f t="shared" si="351"/>
        <v>E0</v>
      </c>
      <c r="V74" s="14" t="str">
        <f t="shared" si="351"/>
        <v>00</v>
      </c>
      <c r="W74" s="14" t="str">
        <f t="shared" si="351"/>
        <v>00</v>
      </c>
      <c r="X74" s="14" t="str">
        <f t="shared" si="352"/>
        <v>00</v>
      </c>
      <c r="Y74" s="4" t="str">
        <f t="shared" si="352"/>
        <v>36</v>
      </c>
      <c r="AB74" s="16" t="str">
        <f t="shared" si="389"/>
        <v>23</v>
      </c>
      <c r="AC74" s="16" t="str">
        <f t="shared" si="390"/>
        <v>CB</v>
      </c>
      <c r="AD74" s="16" t="str">
        <f t="shared" si="391"/>
        <v>26</v>
      </c>
      <c r="AE74" s="16" t="str">
        <f t="shared" si="392"/>
        <v>01</v>
      </c>
      <c r="AF74" s="16" t="str">
        <f t="shared" si="393"/>
        <v>00</v>
      </c>
      <c r="AG74" s="16" t="str">
        <f t="shared" si="394"/>
        <v>20</v>
      </c>
      <c r="AH74" s="16" t="str">
        <f t="shared" si="395"/>
        <v>08</v>
      </c>
      <c r="AI74" s="16" t="str">
        <f t="shared" si="396"/>
        <v>06</v>
      </c>
      <c r="AJ74" s="16" t="str">
        <f t="shared" si="397"/>
        <v>30</v>
      </c>
      <c r="AK74" s="31" t="str">
        <f t="shared" si="398"/>
        <v>45</v>
      </c>
      <c r="AL74" s="16" t="str">
        <f t="shared" si="399"/>
        <v>00</v>
      </c>
      <c r="AM74" s="16" t="str">
        <f t="shared" si="400"/>
        <v>84</v>
      </c>
      <c r="AN74" s="16" t="str">
        <f t="shared" si="401"/>
        <v>29</v>
      </c>
      <c r="AO74" s="16" t="str">
        <f t="shared" si="402"/>
        <v>07</v>
      </c>
      <c r="AP74" s="16" t="str">
        <f t="shared" si="403"/>
        <v>00</v>
      </c>
      <c r="AQ74" s="16" t="str">
        <f t="shared" si="404"/>
        <v>00</v>
      </c>
      <c r="AR74" s="16" t="str">
        <f t="shared" si="405"/>
        <v>00</v>
      </c>
      <c r="AS74" s="16" t="str">
        <f t="shared" si="406"/>
        <v>6C</v>
      </c>
      <c r="AT74" s="16"/>
      <c r="AV74" s="22" t="str">
        <f t="shared" si="407"/>
        <v>00100011</v>
      </c>
      <c r="AW74" s="22" t="str">
        <f t="shared" si="408"/>
        <v>11001011</v>
      </c>
      <c r="AX74" s="22" t="str">
        <f t="shared" si="409"/>
        <v>00100110</v>
      </c>
      <c r="AY74" s="22" t="str">
        <f t="shared" si="410"/>
        <v>00000001</v>
      </c>
      <c r="AZ74" s="22" t="str">
        <f t="shared" si="411"/>
        <v>00000000</v>
      </c>
      <c r="BA74" s="22" t="str">
        <f t="shared" si="412"/>
        <v>00100000</v>
      </c>
      <c r="BB74" s="22" t="str">
        <f t="shared" si="413"/>
        <v>00001000</v>
      </c>
      <c r="BC74" s="22" t="str">
        <f t="shared" si="414"/>
        <v>00000110</v>
      </c>
      <c r="BD74" s="22">
        <f t="shared" si="71"/>
        <v>6</v>
      </c>
      <c r="BE74" s="22" t="str">
        <f t="shared" si="415"/>
        <v>00110000</v>
      </c>
      <c r="BF74" s="31" t="str">
        <f t="shared" si="416"/>
        <v>01000101</v>
      </c>
      <c r="BG74" s="22">
        <f t="shared" si="312"/>
        <v>69</v>
      </c>
      <c r="BH74" s="22" t="str">
        <f t="shared" si="417"/>
        <v>00000000</v>
      </c>
      <c r="BI74" s="22">
        <f t="shared" si="342"/>
        <v>0</v>
      </c>
      <c r="BJ74" s="22" t="str">
        <f t="shared" si="418"/>
        <v>10000100</v>
      </c>
      <c r="BK74" s="22">
        <f t="shared" si="425"/>
        <v>132</v>
      </c>
      <c r="BL74" s="22" t="str">
        <f t="shared" si="419"/>
        <v>00101001</v>
      </c>
      <c r="BM74" s="22">
        <f t="shared" si="425"/>
        <v>41</v>
      </c>
      <c r="BN74" s="22" t="str">
        <f t="shared" si="420"/>
        <v>00000111</v>
      </c>
      <c r="BO74" s="22">
        <f t="shared" si="426"/>
        <v>7</v>
      </c>
      <c r="BP74" s="22" t="str">
        <f t="shared" si="421"/>
        <v>00000000</v>
      </c>
      <c r="BQ74" s="22" t="str">
        <f t="shared" si="422"/>
        <v>00000000</v>
      </c>
      <c r="BR74" s="22" t="str">
        <f t="shared" si="423"/>
        <v>00000000</v>
      </c>
      <c r="BS74" s="22" t="str">
        <f t="shared" si="424"/>
        <v>01101100</v>
      </c>
      <c r="BT74" s="16">
        <f t="shared" si="350"/>
        <v>108</v>
      </c>
    </row>
    <row r="75" spans="1:72" x14ac:dyDescent="0.25">
      <c r="A75" t="s">
        <v>150</v>
      </c>
      <c r="B75" s="11">
        <v>6.9444444444444441E-3</v>
      </c>
      <c r="C75" s="16">
        <v>22</v>
      </c>
      <c r="D75" s="16" t="s">
        <v>151</v>
      </c>
      <c r="E75" t="s">
        <v>91</v>
      </c>
      <c r="F75" t="s">
        <v>102</v>
      </c>
      <c r="G75" t="s">
        <v>114</v>
      </c>
      <c r="H75" s="14" t="str">
        <f t="shared" si="351"/>
        <v>C4</v>
      </c>
      <c r="I75" s="14" t="str">
        <f t="shared" si="351"/>
        <v>D3</v>
      </c>
      <c r="J75" s="14" t="str">
        <f t="shared" si="351"/>
        <v>64</v>
      </c>
      <c r="K75" s="14" t="str">
        <f t="shared" si="351"/>
        <v>80</v>
      </c>
      <c r="L75" s="14" t="str">
        <f t="shared" si="351"/>
        <v>00</v>
      </c>
      <c r="M75" s="14" t="str">
        <f t="shared" si="351"/>
        <v>04</v>
      </c>
      <c r="N75" s="14" t="str">
        <f t="shared" si="351"/>
        <v>10</v>
      </c>
      <c r="O75" s="14" t="str">
        <f t="shared" si="351"/>
        <v>60</v>
      </c>
      <c r="P75" s="14" t="str">
        <f t="shared" si="351"/>
        <v>0C</v>
      </c>
      <c r="Q75" s="5" t="str">
        <f t="shared" si="351"/>
        <v>A2</v>
      </c>
      <c r="R75" s="14" t="str">
        <f t="shared" si="351"/>
        <v>00</v>
      </c>
      <c r="S75" s="14" t="str">
        <f t="shared" si="351"/>
        <v>21</v>
      </c>
      <c r="T75" s="14" t="str">
        <f t="shared" si="351"/>
        <v>00</v>
      </c>
      <c r="U75" s="14" t="str">
        <f t="shared" si="351"/>
        <v>C0</v>
      </c>
      <c r="V75" s="14" t="str">
        <f t="shared" si="351"/>
        <v>00</v>
      </c>
      <c r="W75" s="14" t="str">
        <f t="shared" si="351"/>
        <v>00</v>
      </c>
      <c r="X75" s="14" t="str">
        <f t="shared" si="352"/>
        <v>00</v>
      </c>
      <c r="Y75" s="4" t="str">
        <f t="shared" si="352"/>
        <v>FC</v>
      </c>
      <c r="AB75" s="16" t="str">
        <f t="shared" si="389"/>
        <v>23</v>
      </c>
      <c r="AC75" s="16" t="str">
        <f t="shared" si="390"/>
        <v>CB</v>
      </c>
      <c r="AD75" s="16" t="str">
        <f t="shared" si="391"/>
        <v>26</v>
      </c>
      <c r="AE75" s="16" t="str">
        <f t="shared" si="392"/>
        <v>01</v>
      </c>
      <c r="AF75" s="16" t="str">
        <f t="shared" si="393"/>
        <v>00</v>
      </c>
      <c r="AG75" s="16" t="str">
        <f t="shared" si="394"/>
        <v>20</v>
      </c>
      <c r="AH75" s="16" t="str">
        <f t="shared" si="395"/>
        <v>08</v>
      </c>
      <c r="AI75" s="16" t="str">
        <f t="shared" si="396"/>
        <v>06</v>
      </c>
      <c r="AJ75" s="16" t="str">
        <f t="shared" si="397"/>
        <v>30</v>
      </c>
      <c r="AK75" s="31" t="str">
        <f t="shared" si="398"/>
        <v>45</v>
      </c>
      <c r="AL75" s="16" t="str">
        <f t="shared" si="399"/>
        <v>00</v>
      </c>
      <c r="AM75" s="16" t="str">
        <f t="shared" si="400"/>
        <v>84</v>
      </c>
      <c r="AN75" s="16" t="str">
        <f t="shared" si="401"/>
        <v>00</v>
      </c>
      <c r="AO75" s="16" t="str">
        <f t="shared" si="402"/>
        <v>03</v>
      </c>
      <c r="AP75" s="16" t="str">
        <f t="shared" si="403"/>
        <v>00</v>
      </c>
      <c r="AQ75" s="16" t="str">
        <f t="shared" si="404"/>
        <v>00</v>
      </c>
      <c r="AR75" s="16" t="str">
        <f t="shared" si="405"/>
        <v>00</v>
      </c>
      <c r="AS75" s="16" t="str">
        <f t="shared" si="406"/>
        <v>3F</v>
      </c>
      <c r="AT75" s="16"/>
      <c r="AV75" s="22" t="str">
        <f t="shared" si="407"/>
        <v>00100011</v>
      </c>
      <c r="AW75" s="22" t="str">
        <f t="shared" si="408"/>
        <v>11001011</v>
      </c>
      <c r="AX75" s="22" t="str">
        <f t="shared" si="409"/>
        <v>00100110</v>
      </c>
      <c r="AY75" s="22" t="str">
        <f t="shared" si="410"/>
        <v>00000001</v>
      </c>
      <c r="AZ75" s="22" t="str">
        <f t="shared" si="411"/>
        <v>00000000</v>
      </c>
      <c r="BA75" s="22" t="str">
        <f t="shared" si="412"/>
        <v>00100000</v>
      </c>
      <c r="BB75" s="22" t="str">
        <f t="shared" si="413"/>
        <v>00001000</v>
      </c>
      <c r="BC75" s="22" t="str">
        <f t="shared" si="414"/>
        <v>00000110</v>
      </c>
      <c r="BD75" s="22">
        <f t="shared" si="71"/>
        <v>6</v>
      </c>
      <c r="BE75" s="22" t="str">
        <f t="shared" si="415"/>
        <v>00110000</v>
      </c>
      <c r="BF75" s="31" t="str">
        <f t="shared" si="416"/>
        <v>01000101</v>
      </c>
      <c r="BG75" s="22">
        <f t="shared" si="312"/>
        <v>69</v>
      </c>
      <c r="BH75" s="22" t="str">
        <f t="shared" si="417"/>
        <v>00000000</v>
      </c>
      <c r="BI75" s="22">
        <f t="shared" si="342"/>
        <v>0</v>
      </c>
      <c r="BJ75" s="22" t="str">
        <f t="shared" si="418"/>
        <v>10000100</v>
      </c>
      <c r="BK75" s="22"/>
      <c r="BL75" s="22" t="str">
        <f t="shared" si="419"/>
        <v>00000000</v>
      </c>
      <c r="BM75" s="22"/>
      <c r="BN75" s="22" t="str">
        <f t="shared" si="420"/>
        <v>00000011</v>
      </c>
      <c r="BO75" s="22">
        <f t="shared" si="426"/>
        <v>3</v>
      </c>
      <c r="BP75" s="22" t="str">
        <f t="shared" si="421"/>
        <v>00000000</v>
      </c>
      <c r="BQ75" s="22" t="str">
        <f t="shared" si="422"/>
        <v>00000000</v>
      </c>
      <c r="BR75" s="22" t="str">
        <f t="shared" si="423"/>
        <v>00000000</v>
      </c>
      <c r="BS75" s="22" t="str">
        <f t="shared" si="424"/>
        <v>00111111</v>
      </c>
      <c r="BT75" s="16">
        <f t="shared" si="350"/>
        <v>63</v>
      </c>
    </row>
    <row r="76" spans="1:72" x14ac:dyDescent="0.25">
      <c r="A76" t="s">
        <v>152</v>
      </c>
      <c r="B76" s="11">
        <v>1.0416666666666666E-2</v>
      </c>
      <c r="C76" s="16">
        <v>22</v>
      </c>
      <c r="E76" t="s">
        <v>91</v>
      </c>
      <c r="G76" t="s">
        <v>114</v>
      </c>
      <c r="H76" s="14" t="str">
        <f t="shared" si="351"/>
        <v>C4</v>
      </c>
      <c r="I76" s="14" t="str">
        <f t="shared" si="351"/>
        <v>D3</v>
      </c>
      <c r="J76" s="14" t="str">
        <f t="shared" si="351"/>
        <v>64</v>
      </c>
      <c r="K76" s="14" t="str">
        <f t="shared" si="351"/>
        <v>80</v>
      </c>
      <c r="L76" s="14" t="str">
        <f t="shared" si="351"/>
        <v>00</v>
      </c>
      <c r="M76" s="14" t="str">
        <f t="shared" si="351"/>
        <v>04</v>
      </c>
      <c r="N76" s="14" t="str">
        <f t="shared" si="351"/>
        <v>10</v>
      </c>
      <c r="O76" s="14" t="str">
        <f t="shared" si="351"/>
        <v>60</v>
      </c>
      <c r="P76" s="14" t="str">
        <f t="shared" si="351"/>
        <v>0C</v>
      </c>
      <c r="Q76" s="5" t="str">
        <f t="shared" si="351"/>
        <v>A2</v>
      </c>
      <c r="R76" s="14" t="str">
        <f t="shared" si="351"/>
        <v>80</v>
      </c>
      <c r="S76" s="14" t="str">
        <f t="shared" si="351"/>
        <v>00</v>
      </c>
      <c r="T76" s="14" t="str">
        <f t="shared" si="351"/>
        <v>00</v>
      </c>
      <c r="U76" s="14" t="str">
        <f t="shared" si="351"/>
        <v>00</v>
      </c>
      <c r="V76" s="14" t="str">
        <f t="shared" si="351"/>
        <v>00</v>
      </c>
      <c r="W76" s="14" t="str">
        <f t="shared" si="351"/>
        <v>00</v>
      </c>
      <c r="X76" s="14" t="str">
        <f t="shared" si="352"/>
        <v>00</v>
      </c>
      <c r="Y76" s="4" t="str">
        <f t="shared" si="352"/>
        <v>9D</v>
      </c>
      <c r="AB76" s="16" t="str">
        <f t="shared" si="389"/>
        <v>23</v>
      </c>
      <c r="AC76" s="16" t="str">
        <f t="shared" si="390"/>
        <v>CB</v>
      </c>
      <c r="AD76" s="16" t="str">
        <f t="shared" si="391"/>
        <v>26</v>
      </c>
      <c r="AE76" s="16" t="str">
        <f t="shared" si="392"/>
        <v>01</v>
      </c>
      <c r="AF76" s="16" t="str">
        <f t="shared" si="393"/>
        <v>00</v>
      </c>
      <c r="AG76" s="16" t="str">
        <f t="shared" si="394"/>
        <v>20</v>
      </c>
      <c r="AH76" s="16" t="str">
        <f t="shared" si="395"/>
        <v>08</v>
      </c>
      <c r="AI76" s="16" t="str">
        <f t="shared" si="396"/>
        <v>06</v>
      </c>
      <c r="AJ76" s="16" t="str">
        <f t="shared" si="397"/>
        <v>30</v>
      </c>
      <c r="AK76" s="31" t="str">
        <f t="shared" si="398"/>
        <v>45</v>
      </c>
      <c r="AL76" s="16" t="str">
        <f t="shared" si="399"/>
        <v>01</v>
      </c>
      <c r="AM76" s="16" t="str">
        <f t="shared" si="400"/>
        <v>00</v>
      </c>
      <c r="AN76" s="16" t="str">
        <f t="shared" si="401"/>
        <v>00</v>
      </c>
      <c r="AO76" s="16" t="str">
        <f t="shared" si="402"/>
        <v>00</v>
      </c>
      <c r="AP76" s="16" t="str">
        <f t="shared" si="403"/>
        <v>00</v>
      </c>
      <c r="AQ76" s="16" t="str">
        <f t="shared" si="404"/>
        <v>00</v>
      </c>
      <c r="AR76" s="16" t="str">
        <f t="shared" si="405"/>
        <v>00</v>
      </c>
      <c r="AS76" s="16" t="str">
        <f t="shared" si="406"/>
        <v>B9</v>
      </c>
      <c r="AT76" s="16"/>
      <c r="AV76" s="22" t="str">
        <f t="shared" si="407"/>
        <v>00100011</v>
      </c>
      <c r="AW76" s="22" t="str">
        <f t="shared" si="408"/>
        <v>11001011</v>
      </c>
      <c r="AX76" s="22" t="str">
        <f t="shared" si="409"/>
        <v>00100110</v>
      </c>
      <c r="AY76" s="22" t="str">
        <f t="shared" si="410"/>
        <v>00000001</v>
      </c>
      <c r="AZ76" s="22" t="str">
        <f t="shared" si="411"/>
        <v>00000000</v>
      </c>
      <c r="BA76" s="22" t="str">
        <f t="shared" si="412"/>
        <v>00100000</v>
      </c>
      <c r="BB76" s="22" t="str">
        <f t="shared" si="413"/>
        <v>00001000</v>
      </c>
      <c r="BC76" s="22" t="str">
        <f t="shared" si="414"/>
        <v>00000110</v>
      </c>
      <c r="BD76" s="22">
        <f t="shared" si="71"/>
        <v>6</v>
      </c>
      <c r="BE76" s="22" t="str">
        <f t="shared" si="415"/>
        <v>00110000</v>
      </c>
      <c r="BF76" s="31" t="str">
        <f t="shared" si="416"/>
        <v>01000101</v>
      </c>
      <c r="BG76" s="22">
        <f t="shared" si="312"/>
        <v>69</v>
      </c>
      <c r="BH76" s="22" t="str">
        <f t="shared" si="417"/>
        <v>00000001</v>
      </c>
      <c r="BI76" s="22">
        <f t="shared" si="342"/>
        <v>1</v>
      </c>
      <c r="BJ76" s="22" t="str">
        <f t="shared" si="418"/>
        <v>00000000</v>
      </c>
      <c r="BK76" s="22"/>
      <c r="BL76" s="22" t="str">
        <f t="shared" si="419"/>
        <v>00000000</v>
      </c>
      <c r="BM76" s="22"/>
      <c r="BN76" s="22" t="str">
        <f t="shared" si="420"/>
        <v>00000000</v>
      </c>
      <c r="BO76" s="22"/>
      <c r="BP76" s="22" t="str">
        <f t="shared" si="421"/>
        <v>00000000</v>
      </c>
      <c r="BQ76" s="22" t="str">
        <f t="shared" si="422"/>
        <v>00000000</v>
      </c>
      <c r="BR76" s="22" t="str">
        <f t="shared" si="423"/>
        <v>00000000</v>
      </c>
      <c r="BS76" s="22" t="str">
        <f t="shared" si="424"/>
        <v>10111001</v>
      </c>
      <c r="BT76" s="16">
        <f t="shared" si="350"/>
        <v>185</v>
      </c>
    </row>
    <row r="77" spans="1:72" x14ac:dyDescent="0.25">
      <c r="A77" t="s">
        <v>153</v>
      </c>
      <c r="B77" s="11">
        <v>1.0416666666666666E-2</v>
      </c>
      <c r="D77" s="16"/>
      <c r="E77" t="s">
        <v>154</v>
      </c>
      <c r="G77" t="s">
        <v>114</v>
      </c>
      <c r="H77" s="14" t="str">
        <f t="shared" si="351"/>
        <v>C4</v>
      </c>
      <c r="I77" s="14" t="str">
        <f t="shared" si="351"/>
        <v>D3</v>
      </c>
      <c r="J77" s="14" t="str">
        <f t="shared" si="351"/>
        <v>64</v>
      </c>
      <c r="K77" s="14" t="str">
        <f t="shared" si="351"/>
        <v>80</v>
      </c>
      <c r="L77" s="14" t="str">
        <f t="shared" si="351"/>
        <v>00</v>
      </c>
      <c r="M77" s="14" t="str">
        <f t="shared" si="351"/>
        <v>04</v>
      </c>
      <c r="N77" s="14" t="str">
        <f t="shared" si="351"/>
        <v>08</v>
      </c>
      <c r="O77" s="14" t="str">
        <f t="shared" si="351"/>
        <v>10</v>
      </c>
      <c r="P77" s="14" t="str">
        <f t="shared" si="351"/>
        <v>4C</v>
      </c>
      <c r="Q77" s="5" t="str">
        <f t="shared" si="351"/>
        <v>A2</v>
      </c>
      <c r="R77" s="14" t="str">
        <f t="shared" si="351"/>
        <v>80</v>
      </c>
      <c r="S77" s="14" t="str">
        <f t="shared" si="351"/>
        <v>00</v>
      </c>
      <c r="T77" s="14" t="str">
        <f t="shared" si="351"/>
        <v>00</v>
      </c>
      <c r="U77" s="14" t="str">
        <f t="shared" si="351"/>
        <v>00</v>
      </c>
      <c r="V77" s="14" t="str">
        <f t="shared" si="351"/>
        <v>00</v>
      </c>
      <c r="W77" s="14" t="str">
        <f t="shared" si="351"/>
        <v>00</v>
      </c>
      <c r="X77" s="14" t="str">
        <f t="shared" si="352"/>
        <v>00</v>
      </c>
      <c r="Y77" s="4" t="str">
        <f t="shared" si="352"/>
        <v>A3</v>
      </c>
      <c r="AB77" s="16" t="str">
        <f t="shared" si="389"/>
        <v>23</v>
      </c>
      <c r="AC77" s="16" t="str">
        <f t="shared" si="390"/>
        <v>CB</v>
      </c>
      <c r="AD77" s="16" t="str">
        <f t="shared" si="391"/>
        <v>26</v>
      </c>
      <c r="AE77" s="16" t="str">
        <f t="shared" si="392"/>
        <v>01</v>
      </c>
      <c r="AF77" s="16" t="str">
        <f t="shared" si="393"/>
        <v>00</v>
      </c>
      <c r="AG77" s="16" t="str">
        <f t="shared" si="394"/>
        <v>20</v>
      </c>
      <c r="AH77" s="16" t="str">
        <f t="shared" si="395"/>
        <v>10</v>
      </c>
      <c r="AI77" s="16" t="str">
        <f t="shared" si="396"/>
        <v>08</v>
      </c>
      <c r="AJ77" s="16" t="str">
        <f t="shared" si="397"/>
        <v>32</v>
      </c>
      <c r="AK77" s="31" t="str">
        <f t="shared" si="398"/>
        <v>45</v>
      </c>
      <c r="AL77" s="16" t="str">
        <f t="shared" si="399"/>
        <v>01</v>
      </c>
      <c r="AM77" s="16" t="str">
        <f t="shared" si="400"/>
        <v>00</v>
      </c>
      <c r="AN77" s="16" t="str">
        <f t="shared" si="401"/>
        <v>00</v>
      </c>
      <c r="AO77" s="16" t="str">
        <f t="shared" si="402"/>
        <v>00</v>
      </c>
      <c r="AP77" s="16" t="str">
        <f t="shared" si="403"/>
        <v>00</v>
      </c>
      <c r="AQ77" s="16" t="str">
        <f t="shared" si="404"/>
        <v>00</v>
      </c>
      <c r="AR77" s="16" t="str">
        <f t="shared" si="405"/>
        <v>00</v>
      </c>
      <c r="AS77" s="16" t="str">
        <f t="shared" si="406"/>
        <v>C5</v>
      </c>
      <c r="AT77" s="16"/>
      <c r="AV77" s="22" t="str">
        <f t="shared" si="407"/>
        <v>00100011</v>
      </c>
      <c r="AW77" s="22" t="str">
        <f t="shared" si="408"/>
        <v>11001011</v>
      </c>
      <c r="AX77" s="22" t="str">
        <f t="shared" si="409"/>
        <v>00100110</v>
      </c>
      <c r="AY77" s="22" t="str">
        <f t="shared" si="410"/>
        <v>00000001</v>
      </c>
      <c r="AZ77" s="22" t="str">
        <f t="shared" si="411"/>
        <v>00000000</v>
      </c>
      <c r="BA77" s="22" t="str">
        <f t="shared" si="412"/>
        <v>00100000</v>
      </c>
      <c r="BB77" s="22" t="str">
        <f t="shared" si="413"/>
        <v>00010000</v>
      </c>
      <c r="BC77" s="22" t="str">
        <f t="shared" si="414"/>
        <v>00001000</v>
      </c>
      <c r="BD77" s="22">
        <f t="shared" si="71"/>
        <v>8</v>
      </c>
      <c r="BE77" s="22" t="str">
        <f t="shared" si="415"/>
        <v>00110010</v>
      </c>
      <c r="BF77" s="31" t="str">
        <f t="shared" si="416"/>
        <v>01000101</v>
      </c>
      <c r="BG77" s="22">
        <f t="shared" si="312"/>
        <v>69</v>
      </c>
      <c r="BH77" s="22" t="str">
        <f t="shared" si="417"/>
        <v>00000001</v>
      </c>
      <c r="BI77" s="22">
        <f t="shared" si="342"/>
        <v>1</v>
      </c>
      <c r="BJ77" s="22" t="str">
        <f t="shared" si="418"/>
        <v>00000000</v>
      </c>
      <c r="BK77" s="22"/>
      <c r="BL77" s="22" t="str">
        <f t="shared" si="419"/>
        <v>00000000</v>
      </c>
      <c r="BM77" s="22"/>
      <c r="BN77" s="22" t="str">
        <f t="shared" si="420"/>
        <v>00000000</v>
      </c>
      <c r="BO77" s="22"/>
      <c r="BP77" s="22" t="str">
        <f t="shared" si="421"/>
        <v>00000000</v>
      </c>
      <c r="BQ77" s="22" t="str">
        <f t="shared" si="422"/>
        <v>00000000</v>
      </c>
      <c r="BR77" s="22" t="str">
        <f t="shared" si="423"/>
        <v>00000000</v>
      </c>
      <c r="BS77" s="22" t="str">
        <f t="shared" si="424"/>
        <v>11000101</v>
      </c>
      <c r="BT77" s="16">
        <f t="shared" si="350"/>
        <v>197</v>
      </c>
    </row>
    <row r="78" spans="1:72" x14ac:dyDescent="0.25">
      <c r="A78" t="s">
        <v>155</v>
      </c>
      <c r="B78" s="11">
        <v>1.0416666666666666E-2</v>
      </c>
      <c r="C78" s="16">
        <v>23</v>
      </c>
      <c r="E78" t="s">
        <v>156</v>
      </c>
      <c r="G78" t="s">
        <v>114</v>
      </c>
      <c r="H78" s="14" t="str">
        <f t="shared" si="351"/>
        <v>C4</v>
      </c>
      <c r="I78" s="14" t="str">
        <f t="shared" si="351"/>
        <v>D3</v>
      </c>
      <c r="J78" s="14" t="str">
        <f t="shared" si="351"/>
        <v>64</v>
      </c>
      <c r="K78" s="14" t="str">
        <f t="shared" si="351"/>
        <v>80</v>
      </c>
      <c r="L78" s="14" t="str">
        <f t="shared" si="351"/>
        <v>00</v>
      </c>
      <c r="M78" s="14" t="str">
        <f t="shared" si="351"/>
        <v>04</v>
      </c>
      <c r="N78" s="14" t="str">
        <f t="shared" si="351"/>
        <v>18</v>
      </c>
      <c r="O78" s="14" t="str">
        <f t="shared" si="351"/>
        <v>E0</v>
      </c>
      <c r="P78" s="14" t="str">
        <f t="shared" si="351"/>
        <v>6C</v>
      </c>
      <c r="Q78" s="5" t="str">
        <f t="shared" si="351"/>
        <v>A2</v>
      </c>
      <c r="R78" s="14" t="str">
        <f t="shared" si="351"/>
        <v>80</v>
      </c>
      <c r="S78" s="14" t="str">
        <f t="shared" si="351"/>
        <v>00</v>
      </c>
      <c r="T78" s="14" t="str">
        <f t="shared" si="351"/>
        <v>00</v>
      </c>
      <c r="U78" s="14" t="str">
        <f t="shared" si="351"/>
        <v>00</v>
      </c>
      <c r="V78" s="14" t="str">
        <f t="shared" si="351"/>
        <v>00</v>
      </c>
      <c r="W78" s="14" t="str">
        <f t="shared" ref="H78:W79" si="427">RIGHT(LEFT($A78,2*W$6),2)</f>
        <v>00</v>
      </c>
      <c r="X78" s="14" t="str">
        <f t="shared" si="352"/>
        <v>00</v>
      </c>
      <c r="Y78" s="4" t="str">
        <f t="shared" si="352"/>
        <v>0B</v>
      </c>
      <c r="AB78" s="16" t="str">
        <f t="shared" si="389"/>
        <v>23</v>
      </c>
      <c r="AC78" s="16" t="str">
        <f t="shared" si="390"/>
        <v>CB</v>
      </c>
      <c r="AD78" s="16" t="str">
        <f t="shared" si="391"/>
        <v>26</v>
      </c>
      <c r="AE78" s="16" t="str">
        <f t="shared" si="392"/>
        <v>01</v>
      </c>
      <c r="AF78" s="16" t="str">
        <f t="shared" si="393"/>
        <v>00</v>
      </c>
      <c r="AG78" s="16" t="str">
        <f t="shared" si="394"/>
        <v>20</v>
      </c>
      <c r="AH78" s="16" t="str">
        <f t="shared" si="395"/>
        <v>18</v>
      </c>
      <c r="AI78" s="16" t="str">
        <f t="shared" si="396"/>
        <v>07</v>
      </c>
      <c r="AJ78" s="16" t="str">
        <f t="shared" si="397"/>
        <v>36</v>
      </c>
      <c r="AK78" s="31" t="str">
        <f t="shared" si="398"/>
        <v>45</v>
      </c>
      <c r="AL78" s="16" t="str">
        <f t="shared" si="399"/>
        <v>01</v>
      </c>
      <c r="AM78" s="16" t="str">
        <f t="shared" si="400"/>
        <v>00</v>
      </c>
      <c r="AN78" s="16" t="str">
        <f t="shared" si="401"/>
        <v>00</v>
      </c>
      <c r="AO78" s="16" t="str">
        <f t="shared" si="402"/>
        <v>00</v>
      </c>
      <c r="AP78" s="16" t="str">
        <f t="shared" si="403"/>
        <v>00</v>
      </c>
      <c r="AQ78" s="16" t="str">
        <f t="shared" si="404"/>
        <v>00</v>
      </c>
      <c r="AR78" s="16" t="str">
        <f t="shared" si="405"/>
        <v>00</v>
      </c>
      <c r="AS78" s="16" t="str">
        <f t="shared" si="406"/>
        <v>D0</v>
      </c>
      <c r="AT78" s="16"/>
      <c r="AV78" s="22" t="str">
        <f t="shared" si="407"/>
        <v>00100011</v>
      </c>
      <c r="AW78" s="22" t="str">
        <f t="shared" si="408"/>
        <v>11001011</v>
      </c>
      <c r="AX78" s="22" t="str">
        <f t="shared" si="409"/>
        <v>00100110</v>
      </c>
      <c r="AY78" s="22" t="str">
        <f t="shared" si="410"/>
        <v>00000001</v>
      </c>
      <c r="AZ78" s="22" t="str">
        <f t="shared" si="411"/>
        <v>00000000</v>
      </c>
      <c r="BA78" s="22" t="str">
        <f t="shared" si="412"/>
        <v>00100000</v>
      </c>
      <c r="BB78" s="22" t="str">
        <f t="shared" si="413"/>
        <v>00011000</v>
      </c>
      <c r="BC78" s="22" t="str">
        <f t="shared" si="414"/>
        <v>00000111</v>
      </c>
      <c r="BD78" s="22">
        <f t="shared" si="71"/>
        <v>7</v>
      </c>
      <c r="BE78" s="22" t="str">
        <f t="shared" si="415"/>
        <v>00110110</v>
      </c>
      <c r="BF78" s="31" t="str">
        <f t="shared" si="416"/>
        <v>01000101</v>
      </c>
      <c r="BG78" s="22">
        <f t="shared" si="312"/>
        <v>69</v>
      </c>
      <c r="BH78" s="22" t="str">
        <f t="shared" si="417"/>
        <v>00000001</v>
      </c>
      <c r="BI78" s="22">
        <f t="shared" si="342"/>
        <v>1</v>
      </c>
      <c r="BJ78" s="22" t="str">
        <f t="shared" si="418"/>
        <v>00000000</v>
      </c>
      <c r="BK78" s="22"/>
      <c r="BL78" s="22" t="str">
        <f t="shared" si="419"/>
        <v>00000000</v>
      </c>
      <c r="BM78" s="22"/>
      <c r="BN78" s="22" t="str">
        <f t="shared" si="420"/>
        <v>00000000</v>
      </c>
      <c r="BO78" s="22"/>
      <c r="BP78" s="22" t="str">
        <f t="shared" si="421"/>
        <v>00000000</v>
      </c>
      <c r="BQ78" s="22" t="str">
        <f t="shared" si="422"/>
        <v>00000000</v>
      </c>
      <c r="BR78" s="22" t="str">
        <f t="shared" si="423"/>
        <v>00000000</v>
      </c>
      <c r="BS78" s="22" t="str">
        <f t="shared" si="424"/>
        <v>11010000</v>
      </c>
      <c r="BT78" s="16">
        <f t="shared" si="350"/>
        <v>208</v>
      </c>
    </row>
    <row r="79" spans="1:72" x14ac:dyDescent="0.25">
      <c r="A79" t="s">
        <v>157</v>
      </c>
      <c r="B79" s="11">
        <v>1.0416666666666666E-2</v>
      </c>
      <c r="C79" s="16">
        <v>22</v>
      </c>
      <c r="E79" t="s">
        <v>102</v>
      </c>
      <c r="G79" t="s">
        <v>114</v>
      </c>
      <c r="H79" s="14" t="str">
        <f t="shared" si="427"/>
        <v>C4</v>
      </c>
      <c r="I79" s="14" t="str">
        <f t="shared" si="427"/>
        <v>D3</v>
      </c>
      <c r="J79" s="14" t="str">
        <f t="shared" si="427"/>
        <v>64</v>
      </c>
      <c r="K79" s="14" t="str">
        <f t="shared" si="427"/>
        <v>80</v>
      </c>
      <c r="L79" s="14" t="str">
        <f t="shared" si="427"/>
        <v>00</v>
      </c>
      <c r="M79" s="14" t="str">
        <f t="shared" si="427"/>
        <v>04</v>
      </c>
      <c r="N79" s="14" t="str">
        <f t="shared" si="427"/>
        <v>04</v>
      </c>
      <c r="O79" s="14" t="str">
        <f t="shared" si="427"/>
        <v>60</v>
      </c>
      <c r="P79" s="14" t="str">
        <f t="shared" si="427"/>
        <v>6C</v>
      </c>
      <c r="Q79" s="5" t="str">
        <f t="shared" si="427"/>
        <v>01</v>
      </c>
      <c r="R79" s="14" t="str">
        <f t="shared" si="427"/>
        <v>80</v>
      </c>
      <c r="S79" s="14" t="str">
        <f t="shared" si="427"/>
        <v>00</v>
      </c>
      <c r="T79" s="14" t="str">
        <f t="shared" si="427"/>
        <v>00</v>
      </c>
      <c r="U79" s="14" t="str">
        <f t="shared" si="427"/>
        <v>00</v>
      </c>
      <c r="V79" s="14" t="str">
        <f t="shared" si="427"/>
        <v>00</v>
      </c>
      <c r="W79" s="14" t="str">
        <f t="shared" si="427"/>
        <v>00</v>
      </c>
      <c r="X79" s="14" t="str">
        <f t="shared" ref="X79:Y79" si="428">RIGHT(LEFT($A79,2*X$6),2)</f>
        <v>00</v>
      </c>
      <c r="Y79" s="4" t="str">
        <f t="shared" si="428"/>
        <v>48</v>
      </c>
      <c r="AB79" s="16" t="str">
        <f t="shared" si="389"/>
        <v>23</v>
      </c>
      <c r="AC79" s="16" t="str">
        <f t="shared" si="390"/>
        <v>CB</v>
      </c>
      <c r="AD79" s="16" t="str">
        <f t="shared" si="391"/>
        <v>26</v>
      </c>
      <c r="AE79" s="16" t="str">
        <f t="shared" si="392"/>
        <v>01</v>
      </c>
      <c r="AF79" s="16" t="str">
        <f t="shared" si="393"/>
        <v>00</v>
      </c>
      <c r="AG79" s="16" t="str">
        <f t="shared" si="394"/>
        <v>20</v>
      </c>
      <c r="AH79" s="16" t="str">
        <f t="shared" si="395"/>
        <v>20</v>
      </c>
      <c r="AI79" s="16" t="str">
        <f t="shared" si="396"/>
        <v>06</v>
      </c>
      <c r="AJ79" s="16" t="str">
        <f t="shared" si="397"/>
        <v>36</v>
      </c>
      <c r="AK79" s="31" t="str">
        <f t="shared" si="398"/>
        <v>80</v>
      </c>
      <c r="AL79" s="16" t="str">
        <f t="shared" si="399"/>
        <v>01</v>
      </c>
      <c r="AM79" s="16" t="str">
        <f t="shared" si="400"/>
        <v>00</v>
      </c>
      <c r="AN79" s="16" t="str">
        <f t="shared" si="401"/>
        <v>00</v>
      </c>
      <c r="AO79" s="16" t="str">
        <f t="shared" si="402"/>
        <v>00</v>
      </c>
      <c r="AP79" s="16" t="str">
        <f t="shared" si="403"/>
        <v>00</v>
      </c>
      <c r="AQ79" s="16" t="str">
        <f t="shared" si="404"/>
        <v>00</v>
      </c>
      <c r="AR79" s="16" t="str">
        <f t="shared" si="405"/>
        <v>00</v>
      </c>
      <c r="AS79" s="16" t="str">
        <f t="shared" si="406"/>
        <v>12</v>
      </c>
      <c r="AT79" s="16"/>
      <c r="AV79" s="22" t="str">
        <f t="shared" si="407"/>
        <v>00100011</v>
      </c>
      <c r="AW79" s="22" t="str">
        <f t="shared" si="408"/>
        <v>11001011</v>
      </c>
      <c r="AX79" s="22" t="str">
        <f t="shared" si="409"/>
        <v>00100110</v>
      </c>
      <c r="AY79" s="22" t="str">
        <f t="shared" si="410"/>
        <v>00000001</v>
      </c>
      <c r="AZ79" s="22" t="str">
        <f t="shared" si="411"/>
        <v>00000000</v>
      </c>
      <c r="BA79" s="22" t="str">
        <f t="shared" si="412"/>
        <v>00100000</v>
      </c>
      <c r="BB79" s="22" t="str">
        <f t="shared" si="413"/>
        <v>00100000</v>
      </c>
      <c r="BC79" s="22" t="str">
        <f t="shared" si="414"/>
        <v>00000110</v>
      </c>
      <c r="BD79" s="22">
        <f t="shared" si="71"/>
        <v>6</v>
      </c>
      <c r="BE79" s="22" t="str">
        <f t="shared" si="415"/>
        <v>00110110</v>
      </c>
      <c r="BF79" s="31" t="str">
        <f t="shared" si="416"/>
        <v>10000000</v>
      </c>
      <c r="BG79" s="22">
        <f t="shared" si="312"/>
        <v>128</v>
      </c>
      <c r="BH79" s="22" t="str">
        <f t="shared" si="417"/>
        <v>00000001</v>
      </c>
      <c r="BI79" s="22">
        <f t="shared" si="342"/>
        <v>1</v>
      </c>
      <c r="BJ79" s="22" t="str">
        <f t="shared" si="418"/>
        <v>00000000</v>
      </c>
      <c r="BK79" s="22"/>
      <c r="BL79" s="22" t="str">
        <f t="shared" si="419"/>
        <v>00000000</v>
      </c>
      <c r="BM79" s="22"/>
      <c r="BN79" s="22" t="str">
        <f t="shared" si="420"/>
        <v>00000000</v>
      </c>
      <c r="BO79" s="22"/>
      <c r="BP79" s="22" t="str">
        <f t="shared" si="421"/>
        <v>00000000</v>
      </c>
      <c r="BQ79" s="22" t="str">
        <f t="shared" si="422"/>
        <v>00000000</v>
      </c>
      <c r="BR79" s="22" t="str">
        <f t="shared" si="423"/>
        <v>00000000</v>
      </c>
      <c r="BS79" s="22" t="str">
        <f t="shared" si="424"/>
        <v>00010010</v>
      </c>
      <c r="BT79" s="16">
        <f t="shared" si="350"/>
        <v>18</v>
      </c>
    </row>
    <row r="81" spans="55:63" x14ac:dyDescent="0.25">
      <c r="BK81">
        <f>BK74/6</f>
        <v>22</v>
      </c>
    </row>
    <row r="86" spans="55:63" x14ac:dyDescent="0.25">
      <c r="BC86">
        <f>143/6</f>
        <v>23.833333333333332</v>
      </c>
      <c r="BD86">
        <f>0.83*60</f>
        <v>49.8</v>
      </c>
    </row>
  </sheetData>
  <pageMargins left="0.7" right="0.7" top="0.75" bottom="0.75" header="0.3" footer="0.3"/>
  <pageSetup paperSize="9" orientation="portrait" horizontalDpi="0"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42"/>
  <sheetViews>
    <sheetView workbookViewId="0">
      <selection activeCell="A18" sqref="A18"/>
    </sheetView>
  </sheetViews>
  <sheetFormatPr baseColWidth="10"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4</v>
      </c>
    </row>
    <row r="13" spans="1:1" x14ac:dyDescent="0.25">
      <c r="A13" t="s">
        <v>5</v>
      </c>
    </row>
    <row r="14" spans="1:1" x14ac:dyDescent="0.25">
      <c r="A14" t="s">
        <v>6</v>
      </c>
    </row>
    <row r="15" spans="1:1" x14ac:dyDescent="0.25">
      <c r="A15" t="s">
        <v>7</v>
      </c>
    </row>
    <row r="16" spans="1:1" x14ac:dyDescent="0.25">
      <c r="A16" t="s">
        <v>8</v>
      </c>
    </row>
    <row r="17" spans="1:1" x14ac:dyDescent="0.25">
      <c r="A17" t="s">
        <v>51</v>
      </c>
    </row>
    <row r="18" spans="1:1" x14ac:dyDescent="0.25">
      <c r="A18" t="s">
        <v>52</v>
      </c>
    </row>
    <row r="19" spans="1:1" x14ac:dyDescent="0.25">
      <c r="A19" t="s">
        <v>53</v>
      </c>
    </row>
    <row r="20" spans="1:1" x14ac:dyDescent="0.25">
      <c r="A20" t="s">
        <v>13</v>
      </c>
    </row>
    <row r="22" spans="1:1" x14ac:dyDescent="0.25">
      <c r="A22" t="s">
        <v>14</v>
      </c>
    </row>
    <row r="23" spans="1:1" x14ac:dyDescent="0.25">
      <c r="A23" t="s">
        <v>15</v>
      </c>
    </row>
    <row r="24" spans="1:1" x14ac:dyDescent="0.25">
      <c r="A24" t="s">
        <v>16</v>
      </c>
    </row>
    <row r="27" spans="1:1" x14ac:dyDescent="0.25">
      <c r="A27" t="s">
        <v>54</v>
      </c>
    </row>
    <row r="29" spans="1:1" x14ac:dyDescent="0.25">
      <c r="A29" t="s">
        <v>17</v>
      </c>
    </row>
    <row r="30" spans="1:1" x14ac:dyDescent="0.25">
      <c r="A30" t="s">
        <v>55</v>
      </c>
    </row>
    <row r="33" spans="1:1" x14ac:dyDescent="0.25">
      <c r="A33" t="s">
        <v>56</v>
      </c>
    </row>
    <row r="35" spans="1:1" x14ac:dyDescent="0.25">
      <c r="A35" t="s">
        <v>19</v>
      </c>
    </row>
    <row r="36" spans="1:1" x14ac:dyDescent="0.25">
      <c r="A36" t="s">
        <v>18</v>
      </c>
    </row>
    <row r="39" spans="1:1" x14ac:dyDescent="0.25">
      <c r="A39" t="s">
        <v>57</v>
      </c>
    </row>
    <row r="41" spans="1:1" x14ac:dyDescent="0.25">
      <c r="A41" t="s">
        <v>20</v>
      </c>
    </row>
    <row r="42" spans="1:1" x14ac:dyDescent="0.25">
      <c r="A42"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A38"/>
  <sheetViews>
    <sheetView workbookViewId="0">
      <selection activeCell="B41" sqref="B41"/>
    </sheetView>
  </sheetViews>
  <sheetFormatPr baseColWidth="10"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14</v>
      </c>
    </row>
    <row r="13" spans="1:1" x14ac:dyDescent="0.25">
      <c r="A13" t="s">
        <v>15</v>
      </c>
    </row>
    <row r="14" spans="1:1" x14ac:dyDescent="0.25">
      <c r="A14" t="s">
        <v>16</v>
      </c>
    </row>
    <row r="17" spans="1:1" x14ac:dyDescent="0.25">
      <c r="A17" t="s">
        <v>42</v>
      </c>
    </row>
    <row r="19" spans="1:1" x14ac:dyDescent="0.25">
      <c r="A19" t="s">
        <v>43</v>
      </c>
    </row>
    <row r="20" spans="1:1" x14ac:dyDescent="0.25">
      <c r="A20" t="s">
        <v>18</v>
      </c>
    </row>
    <row r="23" spans="1:1" x14ac:dyDescent="0.25">
      <c r="A23" t="s">
        <v>44</v>
      </c>
    </row>
    <row r="25" spans="1:1" x14ac:dyDescent="0.25">
      <c r="A25" t="s">
        <v>45</v>
      </c>
    </row>
    <row r="26" spans="1:1" x14ac:dyDescent="0.25">
      <c r="A26" t="s">
        <v>18</v>
      </c>
    </row>
    <row r="29" spans="1:1" x14ac:dyDescent="0.25">
      <c r="A29" t="s">
        <v>46</v>
      </c>
    </row>
    <row r="31" spans="1:1" x14ac:dyDescent="0.25">
      <c r="A31" t="s">
        <v>47</v>
      </c>
    </row>
    <row r="32" spans="1:1" x14ac:dyDescent="0.25">
      <c r="A32" t="s">
        <v>18</v>
      </c>
    </row>
    <row r="35" spans="1:1" x14ac:dyDescent="0.25">
      <c r="A35" t="s">
        <v>48</v>
      </c>
    </row>
    <row r="37" spans="1:1" x14ac:dyDescent="0.25">
      <c r="A37" t="s">
        <v>49</v>
      </c>
    </row>
    <row r="38" spans="1:1" x14ac:dyDescent="0.25">
      <c r="A38" t="s">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3:Q42"/>
  <sheetViews>
    <sheetView workbookViewId="0">
      <selection activeCell="V48" sqref="V48"/>
    </sheetView>
  </sheetViews>
  <sheetFormatPr baseColWidth="10" defaultRowHeight="15" x14ac:dyDescent="0.25"/>
  <cols>
    <col min="1" max="8" width="4.5703125" style="27" customWidth="1"/>
    <col min="10" max="17" width="4.7109375" customWidth="1"/>
  </cols>
  <sheetData>
    <row r="3" spans="1:17" x14ac:dyDescent="0.25">
      <c r="A3" s="28">
        <v>1</v>
      </c>
      <c r="B3" s="28">
        <v>2</v>
      </c>
      <c r="C3" s="28">
        <v>3</v>
      </c>
      <c r="D3" s="28">
        <v>4</v>
      </c>
      <c r="E3" s="28">
        <v>5</v>
      </c>
      <c r="F3" s="28">
        <v>6</v>
      </c>
      <c r="G3" s="28">
        <v>7</v>
      </c>
      <c r="H3" s="28">
        <v>8</v>
      </c>
      <c r="J3" s="28">
        <v>1</v>
      </c>
      <c r="K3" s="28">
        <v>2</v>
      </c>
      <c r="L3" s="28">
        <v>3</v>
      </c>
      <c r="M3" s="28">
        <v>4</v>
      </c>
      <c r="N3" s="28">
        <v>5</v>
      </c>
      <c r="O3" s="28">
        <v>6</v>
      </c>
      <c r="P3" s="28">
        <v>7</v>
      </c>
      <c r="Q3" s="28">
        <v>8</v>
      </c>
    </row>
    <row r="4" spans="1:17" x14ac:dyDescent="0.25">
      <c r="A4" s="28"/>
      <c r="B4" s="28"/>
      <c r="C4" s="28"/>
      <c r="D4" s="28"/>
      <c r="E4" s="28"/>
      <c r="F4" s="28"/>
      <c r="G4" s="28"/>
      <c r="H4" s="28"/>
      <c r="J4" s="28"/>
      <c r="K4" s="28"/>
      <c r="L4" s="28"/>
      <c r="M4" s="28"/>
      <c r="N4" s="28"/>
      <c r="O4" s="28"/>
      <c r="P4" s="28"/>
      <c r="Q4" s="28"/>
    </row>
    <row r="5" spans="1:17" x14ac:dyDescent="0.25">
      <c r="A5" s="28"/>
      <c r="B5" s="28"/>
      <c r="C5" s="28"/>
      <c r="D5" s="28"/>
      <c r="E5" s="28"/>
      <c r="F5" s="28"/>
      <c r="G5" s="28"/>
      <c r="H5" s="28"/>
      <c r="J5" s="28"/>
      <c r="K5" s="28"/>
      <c r="L5" s="28"/>
      <c r="M5" s="28"/>
      <c r="N5" s="28"/>
      <c r="O5" s="28"/>
      <c r="P5" s="28"/>
      <c r="Q5" s="28"/>
    </row>
    <row r="6" spans="1:17" x14ac:dyDescent="0.25">
      <c r="A6" s="28"/>
      <c r="B6" s="28"/>
      <c r="C6" s="28"/>
      <c r="D6" s="28"/>
      <c r="E6" s="28"/>
      <c r="F6" s="28"/>
      <c r="G6" s="28"/>
      <c r="H6" s="28"/>
      <c r="J6" s="28"/>
      <c r="K6" s="28"/>
      <c r="L6" s="28"/>
      <c r="M6" s="28"/>
      <c r="N6" s="28"/>
      <c r="O6" s="28"/>
      <c r="P6" s="28"/>
      <c r="Q6" s="28"/>
    </row>
    <row r="7" spans="1:17" x14ac:dyDescent="0.25">
      <c r="A7" s="28"/>
      <c r="B7" s="28"/>
      <c r="C7" s="28"/>
      <c r="D7" s="28"/>
      <c r="E7" s="28"/>
      <c r="F7" s="28"/>
      <c r="G7" s="28"/>
      <c r="H7" s="28"/>
      <c r="J7" s="28"/>
      <c r="K7" s="28"/>
      <c r="L7" s="28"/>
      <c r="M7" s="28"/>
      <c r="N7" s="28"/>
      <c r="O7" s="28"/>
      <c r="P7" s="28"/>
      <c r="Q7" s="28"/>
    </row>
    <row r="8" spans="1:17" x14ac:dyDescent="0.25">
      <c r="A8" s="28"/>
      <c r="B8" s="28"/>
      <c r="C8" s="28"/>
      <c r="D8" s="28"/>
      <c r="E8" s="28"/>
      <c r="F8" s="28"/>
      <c r="G8" s="28"/>
      <c r="H8" s="28"/>
      <c r="J8" s="28"/>
      <c r="K8" s="28"/>
      <c r="L8" s="28"/>
      <c r="M8" s="28"/>
      <c r="N8" s="28"/>
      <c r="O8" s="28"/>
      <c r="P8" s="28"/>
      <c r="Q8" s="28"/>
    </row>
    <row r="9" spans="1:17" x14ac:dyDescent="0.25">
      <c r="A9" s="28"/>
      <c r="B9" s="28"/>
      <c r="C9" s="28"/>
      <c r="D9" s="28"/>
      <c r="E9" s="28"/>
      <c r="F9" s="28"/>
      <c r="G9" s="28"/>
      <c r="H9" s="28"/>
      <c r="J9" s="28"/>
      <c r="K9" s="28"/>
      <c r="L9" s="28"/>
      <c r="M9" s="28"/>
      <c r="N9" s="28"/>
      <c r="O9" s="28"/>
      <c r="P9" s="28"/>
      <c r="Q9" s="28"/>
    </row>
    <row r="10" spans="1:17" x14ac:dyDescent="0.25">
      <c r="A10" s="28"/>
      <c r="B10" s="28"/>
      <c r="C10" s="28"/>
      <c r="D10" s="28"/>
      <c r="E10" s="28"/>
      <c r="F10" s="28"/>
      <c r="G10" s="28"/>
      <c r="H10" s="28"/>
      <c r="J10" s="28"/>
      <c r="K10" s="28"/>
      <c r="L10" s="28"/>
      <c r="M10" s="28"/>
      <c r="N10" s="28"/>
      <c r="O10" s="28"/>
      <c r="P10" s="28"/>
      <c r="Q10" s="28"/>
    </row>
    <row r="11" spans="1:17" x14ac:dyDescent="0.25">
      <c r="A11" s="28"/>
      <c r="B11" s="28"/>
      <c r="C11" s="28"/>
      <c r="D11" s="28"/>
      <c r="E11" s="28"/>
      <c r="F11" s="28"/>
      <c r="G11" s="28"/>
      <c r="H11" s="28"/>
      <c r="J11" s="28"/>
      <c r="K11" s="28"/>
      <c r="L11" s="28"/>
      <c r="M11" s="28"/>
      <c r="N11" s="28"/>
      <c r="O11" s="28"/>
      <c r="P11" s="28"/>
      <c r="Q11" s="28"/>
    </row>
    <row r="12" spans="1:17" x14ac:dyDescent="0.25">
      <c r="A12" s="28"/>
      <c r="B12" s="28"/>
      <c r="C12" s="28"/>
      <c r="D12" s="28"/>
      <c r="E12" s="28"/>
      <c r="F12" s="28"/>
      <c r="G12" s="28"/>
      <c r="H12" s="28"/>
      <c r="J12" s="28"/>
      <c r="K12" s="28"/>
      <c r="L12" s="28"/>
      <c r="M12" s="28"/>
      <c r="N12" s="28"/>
      <c r="O12" s="28"/>
      <c r="P12" s="28"/>
      <c r="Q12" s="28"/>
    </row>
    <row r="13" spans="1:17" x14ac:dyDescent="0.25">
      <c r="A13" s="28"/>
      <c r="B13" s="28"/>
      <c r="C13" s="28"/>
      <c r="D13" s="28"/>
      <c r="E13" s="28"/>
      <c r="F13" s="28"/>
      <c r="G13" s="28"/>
      <c r="H13" s="28"/>
      <c r="J13" s="28"/>
      <c r="K13" s="28"/>
      <c r="L13" s="28"/>
      <c r="M13" s="28"/>
      <c r="N13" s="28"/>
      <c r="O13" s="28"/>
      <c r="P13" s="28"/>
      <c r="Q13" s="28"/>
    </row>
    <row r="14" spans="1:17" x14ac:dyDescent="0.25">
      <c r="A14" s="28"/>
      <c r="B14" s="28"/>
      <c r="C14" s="28"/>
      <c r="D14" s="28"/>
      <c r="E14" s="28"/>
      <c r="F14" s="28"/>
      <c r="G14" s="28"/>
      <c r="H14" s="28"/>
      <c r="J14" s="28"/>
      <c r="K14" s="28"/>
      <c r="L14" s="28"/>
      <c r="M14" s="28"/>
      <c r="N14" s="28"/>
      <c r="O14" s="28"/>
      <c r="P14" s="28"/>
      <c r="Q14" s="28"/>
    </row>
    <row r="15" spans="1:17" x14ac:dyDescent="0.25">
      <c r="A15"/>
      <c r="B15"/>
      <c r="C15"/>
      <c r="D15"/>
      <c r="E15"/>
      <c r="F15"/>
      <c r="G15"/>
      <c r="H15"/>
    </row>
    <row r="16" spans="1:17" x14ac:dyDescent="0.25">
      <c r="A16"/>
      <c r="B16"/>
      <c r="C16"/>
      <c r="D16"/>
      <c r="E16"/>
      <c r="F16"/>
      <c r="G16"/>
      <c r="H16"/>
    </row>
    <row r="17" spans="1:17" x14ac:dyDescent="0.25">
      <c r="A17" s="28">
        <v>1</v>
      </c>
      <c r="B17" s="28">
        <v>2</v>
      </c>
      <c r="C17" s="28">
        <v>3</v>
      </c>
      <c r="D17" s="28">
        <v>4</v>
      </c>
      <c r="E17" s="28">
        <v>5</v>
      </c>
      <c r="F17" s="28">
        <v>6</v>
      </c>
      <c r="G17" s="28">
        <v>7</v>
      </c>
      <c r="H17" s="28">
        <v>8</v>
      </c>
      <c r="J17" s="28">
        <v>1</v>
      </c>
      <c r="K17" s="28">
        <v>2</v>
      </c>
      <c r="L17" s="28">
        <v>3</v>
      </c>
      <c r="M17" s="28">
        <v>4</v>
      </c>
      <c r="N17" s="28">
        <v>5</v>
      </c>
      <c r="O17" s="28">
        <v>6</v>
      </c>
      <c r="P17" s="28">
        <v>7</v>
      </c>
      <c r="Q17" s="28">
        <v>8</v>
      </c>
    </row>
    <row r="18" spans="1:17" x14ac:dyDescent="0.25">
      <c r="A18" s="28"/>
      <c r="B18" s="28"/>
      <c r="C18" s="28"/>
      <c r="D18" s="28"/>
      <c r="E18" s="28"/>
      <c r="F18" s="28"/>
      <c r="G18" s="28"/>
      <c r="H18" s="28"/>
      <c r="J18" s="28"/>
      <c r="K18" s="28"/>
      <c r="L18" s="28"/>
      <c r="M18" s="28"/>
      <c r="N18" s="28"/>
      <c r="O18" s="28"/>
      <c r="P18" s="28"/>
      <c r="Q18" s="28"/>
    </row>
    <row r="19" spans="1:17" x14ac:dyDescent="0.25">
      <c r="A19" s="28"/>
      <c r="B19" s="28"/>
      <c r="C19" s="28"/>
      <c r="D19" s="28"/>
      <c r="E19" s="28"/>
      <c r="F19" s="28"/>
      <c r="G19" s="28"/>
      <c r="H19" s="28"/>
      <c r="J19" s="28"/>
      <c r="K19" s="28"/>
      <c r="L19" s="28"/>
      <c r="M19" s="28"/>
      <c r="N19" s="28"/>
      <c r="O19" s="28"/>
      <c r="P19" s="28"/>
      <c r="Q19" s="28"/>
    </row>
    <row r="20" spans="1:17" x14ac:dyDescent="0.25">
      <c r="A20" s="28"/>
      <c r="B20" s="28"/>
      <c r="C20" s="28"/>
      <c r="D20" s="28"/>
      <c r="E20" s="28"/>
      <c r="F20" s="28"/>
      <c r="G20" s="28"/>
      <c r="H20" s="28"/>
      <c r="J20" s="28"/>
      <c r="K20" s="28"/>
      <c r="L20" s="28"/>
      <c r="M20" s="28"/>
      <c r="N20" s="28"/>
      <c r="O20" s="28"/>
      <c r="P20" s="28"/>
      <c r="Q20" s="28"/>
    </row>
    <row r="21" spans="1:17" x14ac:dyDescent="0.25">
      <c r="A21" s="28"/>
      <c r="B21" s="28"/>
      <c r="C21" s="28"/>
      <c r="D21" s="28"/>
      <c r="E21" s="28"/>
      <c r="F21" s="28"/>
      <c r="G21" s="28"/>
      <c r="H21" s="28"/>
      <c r="J21" s="28"/>
      <c r="K21" s="28"/>
      <c r="L21" s="28"/>
      <c r="M21" s="28"/>
      <c r="N21" s="28"/>
      <c r="O21" s="28"/>
      <c r="P21" s="28"/>
      <c r="Q21" s="28"/>
    </row>
    <row r="22" spans="1:17" x14ac:dyDescent="0.25">
      <c r="A22" s="28"/>
      <c r="B22" s="28"/>
      <c r="C22" s="28"/>
      <c r="D22" s="28"/>
      <c r="E22" s="28"/>
      <c r="F22" s="28"/>
      <c r="G22" s="28"/>
      <c r="H22" s="28"/>
      <c r="J22" s="28"/>
      <c r="K22" s="28"/>
      <c r="L22" s="28"/>
      <c r="M22" s="28"/>
      <c r="N22" s="28"/>
      <c r="O22" s="28"/>
      <c r="P22" s="28"/>
      <c r="Q22" s="28"/>
    </row>
    <row r="23" spans="1:17" x14ac:dyDescent="0.25">
      <c r="A23" s="28"/>
      <c r="B23" s="28"/>
      <c r="C23" s="28"/>
      <c r="D23" s="28"/>
      <c r="E23" s="28"/>
      <c r="F23" s="28"/>
      <c r="G23" s="28"/>
      <c r="H23" s="28"/>
      <c r="J23" s="28"/>
      <c r="K23" s="28"/>
      <c r="L23" s="28"/>
      <c r="M23" s="28"/>
      <c r="N23" s="28"/>
      <c r="O23" s="28"/>
      <c r="P23" s="28"/>
      <c r="Q23" s="28"/>
    </row>
    <row r="24" spans="1:17" x14ac:dyDescent="0.25">
      <c r="A24" s="28"/>
      <c r="B24" s="28"/>
      <c r="C24" s="28"/>
      <c r="D24" s="28"/>
      <c r="E24" s="28"/>
      <c r="F24" s="28"/>
      <c r="G24" s="28"/>
      <c r="H24" s="28"/>
      <c r="J24" s="28"/>
      <c r="K24" s="28"/>
      <c r="L24" s="28"/>
      <c r="M24" s="28"/>
      <c r="N24" s="28"/>
      <c r="O24" s="28"/>
      <c r="P24" s="28"/>
      <c r="Q24" s="28"/>
    </row>
    <row r="25" spans="1:17" x14ac:dyDescent="0.25">
      <c r="A25" s="28"/>
      <c r="B25" s="28"/>
      <c r="C25" s="28"/>
      <c r="D25" s="28"/>
      <c r="E25" s="28"/>
      <c r="F25" s="28"/>
      <c r="G25" s="28"/>
      <c r="H25" s="28"/>
      <c r="J25" s="28"/>
      <c r="K25" s="28"/>
      <c r="L25" s="28"/>
      <c r="M25" s="28"/>
      <c r="N25" s="28"/>
      <c r="O25" s="28"/>
      <c r="P25" s="28"/>
      <c r="Q25" s="28"/>
    </row>
    <row r="26" spans="1:17" x14ac:dyDescent="0.25">
      <c r="A26" s="28"/>
      <c r="B26" s="28"/>
      <c r="C26" s="28"/>
      <c r="D26" s="28"/>
      <c r="E26" s="28"/>
      <c r="F26" s="28"/>
      <c r="G26" s="28"/>
      <c r="H26" s="28"/>
      <c r="J26" s="28"/>
      <c r="K26" s="28"/>
      <c r="L26" s="28"/>
      <c r="M26" s="28"/>
      <c r="N26" s="28"/>
      <c r="O26" s="28"/>
      <c r="P26" s="28"/>
      <c r="Q26" s="28"/>
    </row>
    <row r="27" spans="1:17" x14ac:dyDescent="0.25">
      <c r="A27" s="28"/>
      <c r="B27" s="28"/>
      <c r="C27" s="28"/>
      <c r="D27" s="28"/>
      <c r="E27" s="28"/>
      <c r="F27" s="28"/>
      <c r="G27" s="28"/>
      <c r="H27" s="28"/>
      <c r="J27" s="28"/>
      <c r="K27" s="28"/>
      <c r="L27" s="28"/>
      <c r="M27" s="28"/>
      <c r="N27" s="28"/>
      <c r="O27" s="28"/>
      <c r="P27" s="28"/>
      <c r="Q27" s="28"/>
    </row>
    <row r="28" spans="1:17" x14ac:dyDescent="0.25">
      <c r="A28" s="28"/>
      <c r="B28" s="28"/>
      <c r="C28" s="28"/>
      <c r="D28" s="28"/>
      <c r="E28" s="28"/>
      <c r="F28" s="28"/>
      <c r="G28" s="28"/>
      <c r="H28" s="28"/>
      <c r="J28" s="28"/>
      <c r="K28" s="28"/>
      <c r="L28" s="28"/>
      <c r="M28" s="28"/>
      <c r="N28" s="28"/>
      <c r="O28" s="28"/>
      <c r="P28" s="28"/>
      <c r="Q28" s="28"/>
    </row>
    <row r="31" spans="1:17" x14ac:dyDescent="0.25">
      <c r="A31" s="28">
        <v>1</v>
      </c>
      <c r="B31" s="28">
        <v>2</v>
      </c>
      <c r="C31" s="28">
        <v>3</v>
      </c>
      <c r="D31" s="28">
        <v>4</v>
      </c>
      <c r="E31" s="28">
        <v>5</v>
      </c>
      <c r="F31" s="28">
        <v>6</v>
      </c>
      <c r="G31" s="28">
        <v>7</v>
      </c>
      <c r="H31" s="28">
        <v>8</v>
      </c>
      <c r="J31" s="28">
        <v>1</v>
      </c>
      <c r="K31" s="28">
        <v>2</v>
      </c>
      <c r="L31" s="28">
        <v>3</v>
      </c>
      <c r="M31" s="28">
        <v>4</v>
      </c>
      <c r="N31" s="28">
        <v>5</v>
      </c>
      <c r="O31" s="28">
        <v>6</v>
      </c>
      <c r="P31" s="28">
        <v>7</v>
      </c>
      <c r="Q31" s="28">
        <v>8</v>
      </c>
    </row>
    <row r="32" spans="1:17" x14ac:dyDescent="0.25">
      <c r="A32" s="28"/>
      <c r="B32" s="28"/>
      <c r="C32" s="28"/>
      <c r="D32" s="28"/>
      <c r="E32" s="28"/>
      <c r="F32" s="28"/>
      <c r="G32" s="28"/>
      <c r="H32" s="28"/>
      <c r="J32" s="28"/>
      <c r="K32" s="28"/>
      <c r="L32" s="28"/>
      <c r="M32" s="28"/>
      <c r="N32" s="28"/>
      <c r="O32" s="28"/>
      <c r="P32" s="28"/>
      <c r="Q32" s="28"/>
    </row>
    <row r="33" spans="1:17" x14ac:dyDescent="0.25">
      <c r="A33" s="28"/>
      <c r="B33" s="28"/>
      <c r="C33" s="28"/>
      <c r="D33" s="28"/>
      <c r="E33" s="28"/>
      <c r="F33" s="28"/>
      <c r="G33" s="28"/>
      <c r="H33" s="28"/>
      <c r="J33" s="28"/>
      <c r="K33" s="28"/>
      <c r="L33" s="28"/>
      <c r="M33" s="28"/>
      <c r="N33" s="28"/>
      <c r="O33" s="28"/>
      <c r="P33" s="28"/>
      <c r="Q33" s="28"/>
    </row>
    <row r="34" spans="1:17" x14ac:dyDescent="0.25">
      <c r="A34" s="28"/>
      <c r="B34" s="28"/>
      <c r="C34" s="28"/>
      <c r="D34" s="28"/>
      <c r="E34" s="28"/>
      <c r="F34" s="28"/>
      <c r="G34" s="28"/>
      <c r="H34" s="28"/>
      <c r="J34" s="28"/>
      <c r="K34" s="28"/>
      <c r="L34" s="28"/>
      <c r="M34" s="28"/>
      <c r="N34" s="28"/>
      <c r="O34" s="28"/>
      <c r="P34" s="28"/>
      <c r="Q34" s="28"/>
    </row>
    <row r="35" spans="1:17" x14ac:dyDescent="0.25">
      <c r="A35" s="28"/>
      <c r="B35" s="28"/>
      <c r="C35" s="28"/>
      <c r="D35" s="28"/>
      <c r="E35" s="28"/>
      <c r="F35" s="28"/>
      <c r="G35" s="28"/>
      <c r="H35" s="28"/>
      <c r="J35" s="28"/>
      <c r="K35" s="28"/>
      <c r="L35" s="28"/>
      <c r="M35" s="28"/>
      <c r="N35" s="28"/>
      <c r="O35" s="28"/>
      <c r="P35" s="28"/>
      <c r="Q35" s="28"/>
    </row>
    <row r="36" spans="1:17" x14ac:dyDescent="0.25">
      <c r="A36" s="28"/>
      <c r="B36" s="28"/>
      <c r="C36" s="28"/>
      <c r="D36" s="28"/>
      <c r="E36" s="28"/>
      <c r="F36" s="28"/>
      <c r="G36" s="28"/>
      <c r="H36" s="28"/>
      <c r="J36" s="28"/>
      <c r="K36" s="28"/>
      <c r="L36" s="28"/>
      <c r="M36" s="28"/>
      <c r="N36" s="28"/>
      <c r="O36" s="28"/>
      <c r="P36" s="28"/>
      <c r="Q36" s="28"/>
    </row>
    <row r="37" spans="1:17" x14ac:dyDescent="0.25">
      <c r="A37" s="28"/>
      <c r="B37" s="28"/>
      <c r="C37" s="28"/>
      <c r="D37" s="28"/>
      <c r="E37" s="28"/>
      <c r="F37" s="28"/>
      <c r="G37" s="28"/>
      <c r="H37" s="28"/>
      <c r="J37" s="28"/>
      <c r="K37" s="28"/>
      <c r="L37" s="28"/>
      <c r="M37" s="28"/>
      <c r="N37" s="28"/>
      <c r="O37" s="28"/>
      <c r="P37" s="28"/>
      <c r="Q37" s="28"/>
    </row>
    <row r="38" spans="1:17" x14ac:dyDescent="0.25">
      <c r="A38" s="28"/>
      <c r="B38" s="28"/>
      <c r="C38" s="28"/>
      <c r="D38" s="28"/>
      <c r="E38" s="28"/>
      <c r="F38" s="28"/>
      <c r="G38" s="28"/>
      <c r="H38" s="28"/>
      <c r="J38" s="28"/>
      <c r="K38" s="28"/>
      <c r="L38" s="28"/>
      <c r="M38" s="28"/>
      <c r="N38" s="28"/>
      <c r="O38" s="28"/>
      <c r="P38" s="28"/>
      <c r="Q38" s="28"/>
    </row>
    <row r="39" spans="1:17" x14ac:dyDescent="0.25">
      <c r="A39" s="28"/>
      <c r="B39" s="28"/>
      <c r="C39" s="28"/>
      <c r="D39" s="28"/>
      <c r="E39" s="28"/>
      <c r="F39" s="28"/>
      <c r="G39" s="28"/>
      <c r="H39" s="28"/>
      <c r="J39" s="28"/>
      <c r="K39" s="28"/>
      <c r="L39" s="28"/>
      <c r="M39" s="28"/>
      <c r="N39" s="28"/>
      <c r="O39" s="28"/>
      <c r="P39" s="28"/>
      <c r="Q39" s="28"/>
    </row>
    <row r="40" spans="1:17" x14ac:dyDescent="0.25">
      <c r="A40" s="28"/>
      <c r="B40" s="28"/>
      <c r="C40" s="28"/>
      <c r="D40" s="28"/>
      <c r="E40" s="28"/>
      <c r="F40" s="28"/>
      <c r="G40" s="28"/>
      <c r="H40" s="28"/>
      <c r="J40" s="28"/>
      <c r="K40" s="28"/>
      <c r="L40" s="28"/>
      <c r="M40" s="28"/>
      <c r="N40" s="28"/>
      <c r="O40" s="28"/>
      <c r="P40" s="28"/>
      <c r="Q40" s="28"/>
    </row>
    <row r="41" spans="1:17" x14ac:dyDescent="0.25">
      <c r="A41" s="28"/>
      <c r="B41" s="28"/>
      <c r="C41" s="28"/>
      <c r="D41" s="28"/>
      <c r="E41" s="28"/>
      <c r="F41" s="28"/>
      <c r="G41" s="28"/>
      <c r="H41" s="28"/>
      <c r="J41" s="28"/>
      <c r="K41" s="28"/>
      <c r="L41" s="28"/>
      <c r="M41" s="28"/>
      <c r="N41" s="28"/>
      <c r="O41" s="28"/>
      <c r="P41" s="28"/>
      <c r="Q41" s="28"/>
    </row>
    <row r="42" spans="1:17" x14ac:dyDescent="0.25">
      <c r="A42" s="28"/>
      <c r="B42" s="28"/>
      <c r="C42" s="28"/>
      <c r="D42" s="28"/>
      <c r="E42" s="28"/>
      <c r="F42" s="28"/>
      <c r="G42" s="28"/>
      <c r="H42" s="28"/>
      <c r="J42" s="28"/>
      <c r="K42" s="28"/>
      <c r="L42" s="28"/>
      <c r="M42" s="28"/>
      <c r="N42" s="28"/>
      <c r="O42" s="28"/>
      <c r="P42" s="28"/>
      <c r="Q42" s="28"/>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H25"/>
  <sheetViews>
    <sheetView workbookViewId="0">
      <selection activeCell="B2" sqref="B2"/>
    </sheetView>
  </sheetViews>
  <sheetFormatPr baseColWidth="10" defaultRowHeight="15" x14ac:dyDescent="0.25"/>
  <sheetData>
    <row r="1" spans="1:8" x14ac:dyDescent="0.25">
      <c r="A1" t="s">
        <v>139</v>
      </c>
    </row>
    <row r="3" spans="1:8" x14ac:dyDescent="0.25">
      <c r="B3" t="s">
        <v>24</v>
      </c>
      <c r="C3" t="s">
        <v>127</v>
      </c>
      <c r="D3" t="s">
        <v>127</v>
      </c>
      <c r="G3">
        <f>BIN2DEC(C3)+G2</f>
        <v>35</v>
      </c>
      <c r="H3">
        <f>BIN2DEC(D3)+H2</f>
        <v>35</v>
      </c>
    </row>
    <row r="4" spans="1:8" x14ac:dyDescent="0.25">
      <c r="B4" t="s">
        <v>25</v>
      </c>
      <c r="C4" t="s">
        <v>128</v>
      </c>
      <c r="D4" t="s">
        <v>128</v>
      </c>
      <c r="G4">
        <f>BIN2DEC(C4)+G3</f>
        <v>238</v>
      </c>
      <c r="H4">
        <f>BIN2DEC(D4)+H3</f>
        <v>238</v>
      </c>
    </row>
    <row r="5" spans="1:8" x14ac:dyDescent="0.25">
      <c r="B5" t="s">
        <v>26</v>
      </c>
      <c r="C5" t="s">
        <v>129</v>
      </c>
      <c r="D5" t="s">
        <v>129</v>
      </c>
      <c r="G5">
        <f t="shared" ref="G5:H20" si="0">BIN2DEC(C5)+G4</f>
        <v>276</v>
      </c>
      <c r="H5">
        <f t="shared" si="0"/>
        <v>276</v>
      </c>
    </row>
    <row r="6" spans="1:8" x14ac:dyDescent="0.25">
      <c r="B6" t="s">
        <v>27</v>
      </c>
      <c r="C6" t="s">
        <v>130</v>
      </c>
      <c r="D6" t="s">
        <v>130</v>
      </c>
      <c r="G6">
        <f t="shared" si="0"/>
        <v>277</v>
      </c>
      <c r="H6">
        <f t="shared" si="0"/>
        <v>277</v>
      </c>
    </row>
    <row r="7" spans="1:8" x14ac:dyDescent="0.25">
      <c r="B7" t="s">
        <v>28</v>
      </c>
      <c r="C7" t="s">
        <v>50</v>
      </c>
      <c r="D7" t="s">
        <v>50</v>
      </c>
      <c r="G7">
        <f t="shared" si="0"/>
        <v>277</v>
      </c>
      <c r="H7">
        <f t="shared" si="0"/>
        <v>277</v>
      </c>
    </row>
    <row r="8" spans="1:8" x14ac:dyDescent="0.25">
      <c r="B8" t="s">
        <v>29</v>
      </c>
      <c r="C8" t="s">
        <v>131</v>
      </c>
      <c r="D8" t="s">
        <v>50</v>
      </c>
      <c r="G8">
        <f t="shared" si="0"/>
        <v>309</v>
      </c>
      <c r="H8">
        <f t="shared" si="0"/>
        <v>277</v>
      </c>
    </row>
    <row r="9" spans="1:8" x14ac:dyDescent="0.25">
      <c r="B9" t="s">
        <v>30</v>
      </c>
      <c r="C9" t="s">
        <v>132</v>
      </c>
      <c r="D9" t="s">
        <v>132</v>
      </c>
      <c r="G9">
        <f t="shared" si="0"/>
        <v>317</v>
      </c>
      <c r="H9">
        <f t="shared" si="0"/>
        <v>285</v>
      </c>
    </row>
    <row r="10" spans="1:8" x14ac:dyDescent="0.25">
      <c r="B10" t="s">
        <v>31</v>
      </c>
      <c r="C10" t="s">
        <v>133</v>
      </c>
      <c r="D10" t="s">
        <v>133</v>
      </c>
      <c r="G10">
        <f t="shared" si="0"/>
        <v>322</v>
      </c>
      <c r="H10">
        <f t="shared" si="0"/>
        <v>290</v>
      </c>
    </row>
    <row r="11" spans="1:8" x14ac:dyDescent="0.25">
      <c r="B11" t="s">
        <v>32</v>
      </c>
      <c r="C11" t="s">
        <v>134</v>
      </c>
      <c r="D11" t="s">
        <v>134</v>
      </c>
      <c r="G11">
        <f t="shared" si="0"/>
        <v>370</v>
      </c>
      <c r="H11">
        <f t="shared" si="0"/>
        <v>338</v>
      </c>
    </row>
    <row r="12" spans="1:8" x14ac:dyDescent="0.25">
      <c r="B12" t="s">
        <v>33</v>
      </c>
      <c r="C12" t="s">
        <v>135</v>
      </c>
      <c r="D12" t="s">
        <v>135</v>
      </c>
      <c r="G12">
        <f t="shared" si="0"/>
        <v>439</v>
      </c>
      <c r="H12">
        <f t="shared" si="0"/>
        <v>407</v>
      </c>
    </row>
    <row r="13" spans="1:8" x14ac:dyDescent="0.25">
      <c r="B13" t="s">
        <v>34</v>
      </c>
      <c r="C13" t="s">
        <v>136</v>
      </c>
      <c r="D13" t="s">
        <v>136</v>
      </c>
      <c r="G13">
        <f t="shared" si="0"/>
        <v>523</v>
      </c>
      <c r="H13">
        <f t="shared" si="0"/>
        <v>491</v>
      </c>
    </row>
    <row r="14" spans="1:8" x14ac:dyDescent="0.25">
      <c r="B14" t="s">
        <v>35</v>
      </c>
      <c r="C14" t="s">
        <v>50</v>
      </c>
      <c r="D14" t="s">
        <v>50</v>
      </c>
      <c r="G14">
        <f t="shared" si="0"/>
        <v>523</v>
      </c>
      <c r="H14">
        <f t="shared" si="0"/>
        <v>491</v>
      </c>
    </row>
    <row r="15" spans="1:8" x14ac:dyDescent="0.25">
      <c r="B15" t="s">
        <v>36</v>
      </c>
      <c r="C15" t="s">
        <v>50</v>
      </c>
      <c r="D15" t="s">
        <v>50</v>
      </c>
      <c r="G15">
        <f t="shared" si="0"/>
        <v>523</v>
      </c>
      <c r="H15">
        <f t="shared" si="0"/>
        <v>491</v>
      </c>
    </row>
    <row r="16" spans="1:8" x14ac:dyDescent="0.25">
      <c r="B16" t="s">
        <v>37</v>
      </c>
      <c r="C16" t="s">
        <v>50</v>
      </c>
      <c r="D16" t="s">
        <v>50</v>
      </c>
      <c r="G16">
        <f t="shared" si="0"/>
        <v>523</v>
      </c>
      <c r="H16">
        <f t="shared" si="0"/>
        <v>491</v>
      </c>
    </row>
    <row r="17" spans="2:8" x14ac:dyDescent="0.25">
      <c r="B17" t="s">
        <v>38</v>
      </c>
      <c r="C17" t="s">
        <v>50</v>
      </c>
      <c r="D17" t="s">
        <v>50</v>
      </c>
      <c r="G17">
        <f t="shared" si="0"/>
        <v>523</v>
      </c>
      <c r="H17">
        <f t="shared" si="0"/>
        <v>491</v>
      </c>
    </row>
    <row r="18" spans="2:8" x14ac:dyDescent="0.25">
      <c r="B18" t="s">
        <v>39</v>
      </c>
      <c r="C18" t="s">
        <v>50</v>
      </c>
      <c r="D18" t="s">
        <v>50</v>
      </c>
      <c r="G18">
        <f t="shared" si="0"/>
        <v>523</v>
      </c>
      <c r="H18">
        <f t="shared" si="0"/>
        <v>491</v>
      </c>
    </row>
    <row r="19" spans="2:8" x14ac:dyDescent="0.25">
      <c r="B19" t="s">
        <v>40</v>
      </c>
      <c r="C19" t="s">
        <v>50</v>
      </c>
      <c r="D19" t="s">
        <v>50</v>
      </c>
      <c r="G19">
        <f t="shared" si="0"/>
        <v>523</v>
      </c>
      <c r="H19">
        <f t="shared" si="0"/>
        <v>491</v>
      </c>
    </row>
    <row r="20" spans="2:8" x14ac:dyDescent="0.25">
      <c r="G20">
        <f t="shared" si="0"/>
        <v>523</v>
      </c>
      <c r="H20">
        <f t="shared" si="0"/>
        <v>491</v>
      </c>
    </row>
    <row r="23" spans="2:8" x14ac:dyDescent="0.25">
      <c r="B23" t="s">
        <v>41</v>
      </c>
      <c r="C23" t="s">
        <v>137</v>
      </c>
      <c r="D23" t="s">
        <v>138</v>
      </c>
      <c r="G23" t="str">
        <f>DEC2HEX(G20,4)</f>
        <v>020B</v>
      </c>
      <c r="H23" t="str">
        <f>DEC2HEX(H20,4)</f>
        <v>01EB</v>
      </c>
    </row>
    <row r="24" spans="2:8" x14ac:dyDescent="0.25">
      <c r="G24" t="str">
        <f>RIGHT(G23,2)</f>
        <v>0B</v>
      </c>
      <c r="H24" t="str">
        <f>RIGHT(H23,2)</f>
        <v>EB</v>
      </c>
    </row>
    <row r="25" spans="2:8" x14ac:dyDescent="0.25">
      <c r="G25" t="str">
        <f>HEX2BIN(G24,8)</f>
        <v>00001011</v>
      </c>
      <c r="H25" t="str">
        <f>HEX2BIN(H24,8)</f>
        <v>11101011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Feuil1</vt:lpstr>
      <vt:lpstr>Feuil2</vt:lpstr>
      <vt:lpstr>Feuil3</vt:lpstr>
      <vt:lpstr>Feuil4</vt:lpstr>
      <vt:lpstr>Feuil5</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CRUVELLIER</dc:creator>
  <cp:lastModifiedBy>Vincent CRUVELLIER</cp:lastModifiedBy>
  <cp:lastPrinted>2014-11-15T21:35:44Z</cp:lastPrinted>
  <dcterms:created xsi:type="dcterms:W3CDTF">2014-11-13T20:47:08Z</dcterms:created>
  <dcterms:modified xsi:type="dcterms:W3CDTF">2014-11-16T19:49:56Z</dcterms:modified>
</cp:coreProperties>
</file>