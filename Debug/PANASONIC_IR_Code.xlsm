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4915" windowHeight="12600"/>
  </bookViews>
  <sheets>
    <sheet name="Feuil1" sheetId="1" r:id="rId1"/>
    <sheet name="Feuil2" sheetId="2" r:id="rId2"/>
    <sheet name="Feuil3" sheetId="3" r:id="rId3"/>
    <sheet name="Feuil4" sheetId="4" r:id="rId4"/>
    <sheet name="Feuil5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AC15" i="1" l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B15" i="1"/>
  <c r="C15" i="1"/>
  <c r="B12" i="1"/>
  <c r="C12" i="1"/>
  <c r="J12" i="1" s="1"/>
  <c r="B13" i="1"/>
  <c r="C13" i="1"/>
  <c r="B14" i="1"/>
  <c r="C14" i="1"/>
  <c r="L14" i="1" s="1"/>
  <c r="M12" i="1"/>
  <c r="Q12" i="1"/>
  <c r="U12" i="1"/>
  <c r="Y12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K14" i="1"/>
  <c r="O14" i="1"/>
  <c r="S14" i="1"/>
  <c r="W14" i="1"/>
  <c r="AA14" i="1"/>
  <c r="AC13" i="1"/>
  <c r="AC8" i="1"/>
  <c r="AC9" i="1"/>
  <c r="AC10" i="1"/>
  <c r="AC11" i="1"/>
  <c r="AC7" i="1"/>
  <c r="AX8" i="1"/>
  <c r="AX9" i="1"/>
  <c r="AX10" i="1"/>
  <c r="AX11" i="1"/>
  <c r="AX7" i="1"/>
  <c r="B11" i="1"/>
  <c r="C11" i="1"/>
  <c r="K11" i="1" s="1"/>
  <c r="B10" i="1"/>
  <c r="C10" i="1"/>
  <c r="Z10" i="1" s="1"/>
  <c r="C9" i="1"/>
  <c r="J9" i="1" s="1"/>
  <c r="C8" i="1"/>
  <c r="L8" i="1" s="1"/>
  <c r="C7" i="1"/>
  <c r="W7" i="1" s="1"/>
  <c r="B8" i="1"/>
  <c r="B9" i="1"/>
  <c r="B7" i="1"/>
  <c r="C1" i="1"/>
  <c r="B1" i="1"/>
  <c r="F2" i="1"/>
  <c r="AT15" i="1"/>
  <c r="AG15" i="1"/>
  <c r="AW15" i="1"/>
  <c r="AO15" i="1"/>
  <c r="AF15" i="1"/>
  <c r="AV15" i="1"/>
  <c r="AR15" i="1"/>
  <c r="AN15" i="1"/>
  <c r="AU15" i="1"/>
  <c r="AQ15" i="1"/>
  <c r="AM15" i="1"/>
  <c r="AI15" i="1"/>
  <c r="AE15" i="1"/>
  <c r="AP15" i="1"/>
  <c r="AL15" i="1"/>
  <c r="AH15" i="1"/>
  <c r="AS15" i="1"/>
  <c r="AK15" i="1"/>
  <c r="AJ15" i="1"/>
  <c r="AE12" i="1"/>
  <c r="AG13" i="1"/>
  <c r="AK13" i="1"/>
  <c r="AO13" i="1"/>
  <c r="AS13" i="1"/>
  <c r="AW13" i="1"/>
  <c r="AF14" i="1"/>
  <c r="AV14" i="1"/>
  <c r="AH13" i="1"/>
  <c r="AL13" i="1"/>
  <c r="AP13" i="1"/>
  <c r="AT13" i="1"/>
  <c r="AJ14" i="1"/>
  <c r="AE13" i="1"/>
  <c r="AI13" i="1"/>
  <c r="AM13" i="1"/>
  <c r="AQ13" i="1"/>
  <c r="AU13" i="1"/>
  <c r="AG14" i="1"/>
  <c r="AN14" i="1"/>
  <c r="AH12" i="1"/>
  <c r="AL12" i="1"/>
  <c r="AP12" i="1"/>
  <c r="AT12" i="1"/>
  <c r="AF13" i="1"/>
  <c r="AJ13" i="1"/>
  <c r="AN13" i="1"/>
  <c r="AR13" i="1"/>
  <c r="AV13" i="1"/>
  <c r="AR14" i="1"/>
  <c r="AW7" i="1"/>
  <c r="AW11" i="1"/>
  <c r="AW8" i="1"/>
  <c r="AW9" i="1"/>
  <c r="AW10" i="1"/>
  <c r="BD15" i="1" l="1"/>
  <c r="BE15" i="1"/>
  <c r="BS15" i="1"/>
  <c r="BB15" i="1"/>
  <c r="BF15" i="1"/>
  <c r="BM15" i="1"/>
  <c r="AY15" i="1"/>
  <c r="BC15" i="1"/>
  <c r="BH15" i="1"/>
  <c r="BO15" i="1"/>
  <c r="BU15" i="1"/>
  <c r="BI15" i="1"/>
  <c r="BQ15" i="1"/>
  <c r="BV15" i="1"/>
  <c r="AZ15" i="1"/>
  <c r="BK15" i="1"/>
  <c r="AX15" i="1"/>
  <c r="BA15" i="1"/>
  <c r="BT15" i="1"/>
  <c r="V14" i="1"/>
  <c r="N14" i="1"/>
  <c r="J14" i="1"/>
  <c r="Y14" i="1"/>
  <c r="U14" i="1"/>
  <c r="Q14" i="1"/>
  <c r="M14" i="1"/>
  <c r="AA12" i="1"/>
  <c r="W12" i="1"/>
  <c r="S12" i="1"/>
  <c r="O12" i="1"/>
  <c r="K12" i="1"/>
  <c r="Z14" i="1"/>
  <c r="R14" i="1"/>
  <c r="AB12" i="1"/>
  <c r="X12" i="1"/>
  <c r="T12" i="1"/>
  <c r="P12" i="1"/>
  <c r="L12" i="1"/>
  <c r="AB14" i="1"/>
  <c r="X14" i="1"/>
  <c r="T14" i="1"/>
  <c r="P14" i="1"/>
  <c r="Z12" i="1"/>
  <c r="V12" i="1"/>
  <c r="R12" i="1"/>
  <c r="N12" i="1"/>
  <c r="BQ14" i="1"/>
  <c r="BV13" i="1"/>
  <c r="BQ13" i="1"/>
  <c r="BI13" i="1"/>
  <c r="BD13" i="1"/>
  <c r="AZ13" i="1"/>
  <c r="BT12" i="1"/>
  <c r="BM12" i="1"/>
  <c r="BF12" i="1"/>
  <c r="BB12" i="1"/>
  <c r="BI14" i="1"/>
  <c r="BA14" i="1"/>
  <c r="BU13" i="1"/>
  <c r="BO13" i="1"/>
  <c r="BH13" i="1"/>
  <c r="BC13" i="1"/>
  <c r="AY13" i="1"/>
  <c r="BD14" i="1"/>
  <c r="BT13" i="1"/>
  <c r="BM13" i="1"/>
  <c r="BF13" i="1"/>
  <c r="BB13" i="1"/>
  <c r="BV14" i="1"/>
  <c r="AZ14" i="1"/>
  <c r="AX13" i="1"/>
  <c r="BS13" i="1"/>
  <c r="BK13" i="1"/>
  <c r="BE13" i="1"/>
  <c r="BA13" i="1"/>
  <c r="AY12" i="1"/>
  <c r="Q7" i="1"/>
  <c r="M7" i="1"/>
  <c r="Z7" i="1"/>
  <c r="V7" i="1"/>
  <c r="Z11" i="1"/>
  <c r="V11" i="1"/>
  <c r="R11" i="1"/>
  <c r="N11" i="1"/>
  <c r="J11" i="1"/>
  <c r="W10" i="1"/>
  <c r="S10" i="1"/>
  <c r="O10" i="1"/>
  <c r="K10" i="1"/>
  <c r="Y9" i="1"/>
  <c r="U9" i="1"/>
  <c r="Q9" i="1"/>
  <c r="M9" i="1"/>
  <c r="AA8" i="1"/>
  <c r="W8" i="1"/>
  <c r="S8" i="1"/>
  <c r="O8" i="1"/>
  <c r="K8" i="1"/>
  <c r="AB9" i="1"/>
  <c r="J7" i="1"/>
  <c r="P7" i="1"/>
  <c r="L7" i="1"/>
  <c r="Y7" i="1"/>
  <c r="U7" i="1"/>
  <c r="Y11" i="1"/>
  <c r="U11" i="1"/>
  <c r="Q11" i="1"/>
  <c r="M11" i="1"/>
  <c r="AA10" i="1"/>
  <c r="V10" i="1"/>
  <c r="R10" i="1"/>
  <c r="N10" i="1"/>
  <c r="J10" i="1"/>
  <c r="X9" i="1"/>
  <c r="T9" i="1"/>
  <c r="P9" i="1"/>
  <c r="L9" i="1"/>
  <c r="Z8" i="1"/>
  <c r="V8" i="1"/>
  <c r="R8" i="1"/>
  <c r="N8" i="1"/>
  <c r="J8" i="1"/>
  <c r="AB8" i="1"/>
  <c r="S7" i="1"/>
  <c r="O7" i="1"/>
  <c r="K7" i="1"/>
  <c r="X7" i="1"/>
  <c r="T7" i="1"/>
  <c r="X11" i="1"/>
  <c r="T11" i="1"/>
  <c r="P11" i="1"/>
  <c r="L11" i="1"/>
  <c r="Y10" i="1"/>
  <c r="U10" i="1"/>
  <c r="Q10" i="1"/>
  <c r="M10" i="1"/>
  <c r="AA9" i="1"/>
  <c r="W9" i="1"/>
  <c r="S9" i="1"/>
  <c r="O9" i="1"/>
  <c r="K9" i="1"/>
  <c r="Y8" i="1"/>
  <c r="U8" i="1"/>
  <c r="Q8" i="1"/>
  <c r="M8" i="1"/>
  <c r="AB11" i="1"/>
  <c r="AB7" i="1"/>
  <c r="R7" i="1"/>
  <c r="N7" i="1"/>
  <c r="AA7" i="1"/>
  <c r="AA11" i="1"/>
  <c r="W11" i="1"/>
  <c r="S11" i="1"/>
  <c r="O11" i="1"/>
  <c r="X10" i="1"/>
  <c r="T10" i="1"/>
  <c r="P10" i="1"/>
  <c r="L10" i="1"/>
  <c r="Z9" i="1"/>
  <c r="V9" i="1"/>
  <c r="R9" i="1"/>
  <c r="N9" i="1"/>
  <c r="X8" i="1"/>
  <c r="T8" i="1"/>
  <c r="P8" i="1"/>
  <c r="AB10" i="1"/>
  <c r="H23" i="5"/>
  <c r="H24" i="5" s="1"/>
  <c r="H25" i="5" s="1"/>
  <c r="H3" i="5"/>
  <c r="H4" i="5" s="1"/>
  <c r="H5" i="5" s="1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G5" i="5"/>
  <c r="G6" i="5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3" i="5"/>
  <c r="G4" i="5"/>
  <c r="BG17" i="1"/>
  <c r="BF17" i="1"/>
  <c r="A2" i="1"/>
  <c r="AQ14" i="1"/>
  <c r="AU14" i="1"/>
  <c r="AQ12" i="1"/>
  <c r="AI14" i="1"/>
  <c r="AL14" i="1"/>
  <c r="AN12" i="1"/>
  <c r="AM14" i="1"/>
  <c r="AK12" i="1"/>
  <c r="AO14" i="1"/>
  <c r="AM12" i="1"/>
  <c r="AE14" i="1"/>
  <c r="AH14" i="1"/>
  <c r="AJ12" i="1"/>
  <c r="AW12" i="1"/>
  <c r="AG12" i="1"/>
  <c r="AK14" i="1"/>
  <c r="AI12" i="1"/>
  <c r="AT14" i="1"/>
  <c r="AV12" i="1"/>
  <c r="AF12" i="1"/>
  <c r="AS12" i="1"/>
  <c r="AW14" i="1"/>
  <c r="AU12" i="1"/>
  <c r="AP14" i="1"/>
  <c r="AR12" i="1"/>
  <c r="AO12" i="1"/>
  <c r="AS14" i="1"/>
  <c r="AF7" i="1"/>
  <c r="BS14" i="1" l="1"/>
  <c r="BK12" i="1"/>
  <c r="BQ12" i="1"/>
  <c r="BM14" i="1"/>
  <c r="BU12" i="1"/>
  <c r="AX14" i="1"/>
  <c r="BS12" i="1"/>
  <c r="AZ12" i="1"/>
  <c r="BV12" i="1"/>
  <c r="BT14" i="1"/>
  <c r="BC12" i="1"/>
  <c r="BE14" i="1"/>
  <c r="BA12" i="1"/>
  <c r="AX12" i="1"/>
  <c r="BD12" i="1"/>
  <c r="BB14" i="1"/>
  <c r="AY14" i="1"/>
  <c r="BH12" i="1"/>
  <c r="BK14" i="1"/>
  <c r="BE12" i="1"/>
  <c r="BH14" i="1"/>
  <c r="BI12" i="1"/>
  <c r="BF14" i="1"/>
  <c r="BC14" i="1"/>
  <c r="BO12" i="1"/>
  <c r="BU14" i="1"/>
  <c r="BO14" i="1"/>
  <c r="AC14" i="1"/>
  <c r="AC12" i="1"/>
  <c r="G23" i="5"/>
  <c r="G24" i="5" s="1"/>
  <c r="G25" i="5" s="1"/>
  <c r="AK11" i="1"/>
  <c r="AQ10" i="1"/>
  <c r="AE10" i="1"/>
  <c r="AV8" i="1"/>
  <c r="AF10" i="1"/>
  <c r="AI9" i="1"/>
  <c r="AT8" i="1"/>
  <c r="AK9" i="1"/>
  <c r="AO8" i="1"/>
  <c r="AH8" i="1"/>
  <c r="AR11" i="1"/>
  <c r="AN10" i="1"/>
  <c r="AO10" i="1"/>
  <c r="AH10" i="1"/>
  <c r="AS7" i="1"/>
  <c r="AI7" i="1"/>
  <c r="AH7" i="1"/>
  <c r="AQ7" i="1"/>
  <c r="AT9" i="1"/>
  <c r="AG10" i="1"/>
  <c r="AH9" i="1"/>
  <c r="AF9" i="1"/>
  <c r="AI10" i="1"/>
  <c r="AF11" i="1"/>
  <c r="AM7" i="1"/>
  <c r="AG11" i="1"/>
  <c r="AQ8" i="1"/>
  <c r="AE8" i="1"/>
  <c r="AO11" i="1"/>
  <c r="AU10" i="1"/>
  <c r="AQ11" i="1"/>
  <c r="AO9" i="1"/>
  <c r="AU8" i="1"/>
  <c r="AI8" i="1"/>
  <c r="AS11" i="1"/>
  <c r="AM8" i="1"/>
  <c r="AT11" i="1"/>
  <c r="AE11" i="1"/>
  <c r="AP10" i="1"/>
  <c r="AJ10" i="1"/>
  <c r="AK10" i="1"/>
  <c r="AV9" i="1"/>
  <c r="AJ8" i="1"/>
  <c r="AS8" i="1"/>
  <c r="AL8" i="1"/>
  <c r="AV11" i="1"/>
  <c r="AU7" i="1"/>
  <c r="AN7" i="1"/>
  <c r="AK7" i="1"/>
  <c r="AP8" i="1"/>
  <c r="AP7" i="1"/>
  <c r="AG7" i="1"/>
  <c r="AN8" i="1"/>
  <c r="AM11" i="1"/>
  <c r="AJ11" i="1"/>
  <c r="AN9" i="1"/>
  <c r="AM10" i="1"/>
  <c r="AS9" i="1"/>
  <c r="AG9" i="1"/>
  <c r="AF8" i="1"/>
  <c r="AR8" i="1"/>
  <c r="AK8" i="1"/>
  <c r="AU11" i="1"/>
  <c r="AN11" i="1"/>
  <c r="AH11" i="1"/>
  <c r="AI11" i="1"/>
  <c r="AT10" i="1"/>
  <c r="AL9" i="1"/>
  <c r="AQ9" i="1"/>
  <c r="AJ9" i="1"/>
  <c r="AV7" i="1"/>
  <c r="AP9" i="1"/>
  <c r="AO7" i="1"/>
  <c r="AR10" i="1"/>
  <c r="AR7" i="1"/>
  <c r="AP11" i="1"/>
  <c r="AL7" i="1"/>
  <c r="AU9" i="1"/>
  <c r="AS10" i="1"/>
  <c r="AG8" i="1"/>
  <c r="AE9" i="1"/>
  <c r="AJ7" i="1"/>
  <c r="AV10" i="1"/>
  <c r="AR9" i="1"/>
  <c r="AM9" i="1"/>
  <c r="AL11" i="1"/>
  <c r="AT7" i="1"/>
  <c r="AL10" i="1"/>
  <c r="AE7" i="1"/>
  <c r="AY7" i="1" l="1"/>
  <c r="BD7" i="1"/>
  <c r="BU9" i="1"/>
  <c r="BI8" i="1"/>
  <c r="BA11" i="1"/>
  <c r="BO7" i="1"/>
  <c r="BF7" i="1"/>
  <c r="BA7" i="1"/>
  <c r="BI9" i="1"/>
  <c r="AY9" i="1"/>
  <c r="BM11" i="1"/>
  <c r="BM7" i="1"/>
  <c r="BF10" i="1"/>
  <c r="BB7" i="1"/>
  <c r="BQ7" i="1"/>
  <c r="BM8" i="1"/>
  <c r="BO11" i="1"/>
  <c r="BA8" i="1"/>
  <c r="BQ10" i="1"/>
  <c r="BE7" i="1"/>
  <c r="BH7" i="1"/>
  <c r="BC7" i="1"/>
  <c r="BK7" i="1"/>
  <c r="BI7" i="1"/>
  <c r="BD11" i="1"/>
  <c r="BS10" i="1"/>
  <c r="BM9" i="1"/>
  <c r="BU7" i="1"/>
  <c r="BT7" i="1"/>
  <c r="BS7" i="1"/>
  <c r="BV7" i="1"/>
  <c r="AZ7" i="1"/>
  <c r="BV11" i="1"/>
  <c r="AZ11" i="1"/>
  <c r="BB10" i="1"/>
  <c r="BD9" i="1"/>
  <c r="BF8" i="1"/>
  <c r="BH11" i="1"/>
  <c r="BK10" i="1"/>
  <c r="BO9" i="1"/>
  <c r="BS8" i="1"/>
  <c r="BF11" i="1"/>
  <c r="BI10" i="1"/>
  <c r="BF9" i="1"/>
  <c r="BD8" i="1"/>
  <c r="BC10" i="1"/>
  <c r="BQ11" i="1"/>
  <c r="BT10" i="1"/>
  <c r="BV9" i="1"/>
  <c r="AZ9" i="1"/>
  <c r="BB8" i="1"/>
  <c r="BC11" i="1"/>
  <c r="BE10" i="1"/>
  <c r="BH9" i="1"/>
  <c r="BK8" i="1"/>
  <c r="BB11" i="1"/>
  <c r="BD10" i="1"/>
  <c r="BB9" i="1"/>
  <c r="BE9" i="1"/>
  <c r="BI11" i="1"/>
  <c r="BM10" i="1"/>
  <c r="BQ9" i="1"/>
  <c r="BT8" i="1"/>
  <c r="BU11" i="1"/>
  <c r="AY11" i="1"/>
  <c r="BA10" i="1"/>
  <c r="BC9" i="1"/>
  <c r="BE8" i="1"/>
  <c r="BT11" i="1"/>
  <c r="BV10" i="1"/>
  <c r="AZ10" i="1"/>
  <c r="BQ8" i="1"/>
  <c r="BH8" i="1"/>
  <c r="BT9" i="1"/>
  <c r="BV8" i="1"/>
  <c r="AZ8" i="1"/>
  <c r="BS11" i="1"/>
  <c r="BU10" i="1"/>
  <c r="AY10" i="1"/>
  <c r="BA9" i="1"/>
  <c r="BC8" i="1"/>
  <c r="BK11" i="1"/>
  <c r="BO10" i="1"/>
  <c r="BS9" i="1"/>
  <c r="BU8" i="1"/>
  <c r="AY8" i="1"/>
  <c r="BE11" i="1"/>
  <c r="BH10" i="1"/>
  <c r="BK9" i="1"/>
  <c r="BO8" i="1"/>
</calcChain>
</file>

<file path=xl/comments1.xml><?xml version="1.0" encoding="utf-8"?>
<comments xmlns="http://schemas.openxmlformats.org/spreadsheetml/2006/main">
  <authors>
    <author>Vincent CRUVELLIER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2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2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  <comment ref="A8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4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Vincent CRUVELLIER:</t>
        </r>
        <r>
          <rPr>
            <sz val="9"/>
            <color indexed="81"/>
            <rFont val="Tahoma"/>
            <family val="2"/>
          </rPr>
          <t xml:space="preserve">
Row: 1
Hex: 400407200000006040040720001274018C0000700708008000604C
Binary:
01000000 00000100 00000111 00100000
00000000 00000000 00000000 01100000
01000000 00000100 00000111 00100000
00000000 00010010 01110100 00000001
10001100 00000000 00000000 01110000
00000111 00001000 00000000 10000000
00000000 01100000 01001100 
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Vincent CRUVELLIER:</t>
        </r>
        <r>
          <rPr>
            <sz val="9"/>
            <color indexed="81"/>
            <rFont val="Tahoma"/>
            <family val="2"/>
          </rPr>
          <t xml:space="preserve">
Row: 1
Hex: 40040720000000604004072000120C018C0000700708008000602C
Binary:
01000000 00000100 00000111 00100000
00000000 00000000 00000000 01100000
01000000 00000100 00000111 00100000
00000000 00010010 00001100 00000001
10001100 00000000 00000000 01110000
00000111 00001000 00000000 10000000
00000000 01100000 00101100 
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Vincent CRUVELLIER:</t>
        </r>
        <r>
          <rPr>
            <sz val="9"/>
            <color indexed="81"/>
            <rFont val="Tahoma"/>
            <family val="2"/>
          </rPr>
          <t xml:space="preserve">
Row: 1
Hex: 400407200000006040040720001274018C0000700708008000604C
Binary:
01000000 00000100 00000111 00100000
00000000 00000000 00000000 01100000
01000000 00000100 00000111 00100000
00000000 00010010 01110100 00000001
10001100 00000000 00000000 01110000
00000111 00001000 00000000 10000000
00000000 01100000 01001100 </t>
        </r>
      </text>
    </comment>
    <comment ref="A12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400407200000006040040720001274018C0000700708008000604C
Binary:
01000000 00000100 00000111 00100000
00000000 00000000 00000000 01100000
01000000 00000100 00000111 00100000
00000000 00010010 01110100 00000001
10001100 00000000 00000000 01110000
00000111 00001000 00000000 10000000
00000000 01100000 01001100 </t>
        </r>
      </text>
    </comment>
    <comment ref="A13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400407200000006040040720001234018C0000700708008000600C
Binary:
01000000 00000100 00000111 00100000
00000000 00000000 00000000 01100000
01000000 00000100 00000111 00100000
00000000 00010010 00110100 00000001
10001100 00000000 00000000 01110000
00000111 00001000 00000000 10000000
00000000 01100000 00001100 </t>
        </r>
      </text>
    </comment>
    <comment ref="A14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400407200000006040040720001254018C00007007080080006074
Binary:
01000000 00000100 00000111 00100000
00000000 00000000 00000000 01100000
01000000 00000100 00000111 00100000
00000000 00010010 01010100 00000001
10001100 00000000 00000000 01110000
00000111 00001000 00000000 10000000
00000000 01100000 01110100 </t>
        </r>
      </text>
    </comment>
    <comment ref="A15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400407200000006040040720009254018C000070070800800060F4
Binary:
01000000 00000100 00000111 00100000
00000000 00000000 00000000 01100000
01000000 00000100 00000111 00100000
00000000 10010010 01010100 00000001
10001100 00000000 00000000 01110000
00000111 00001000 00000000 10000000
00000000 01100000 11110100 </t>
        </r>
      </text>
    </comment>
  </commentList>
</comments>
</file>

<file path=xl/sharedStrings.xml><?xml version="1.0" encoding="utf-8"?>
<sst xmlns="http://schemas.openxmlformats.org/spreadsheetml/2006/main" count="151" uniqueCount="76">
  <si>
    <t>ON</t>
  </si>
  <si>
    <t>ETAT</t>
  </si>
  <si>
    <t>TEMP</t>
  </si>
  <si>
    <t>/*</t>
  </si>
  <si>
    <t>Automatically Generated by AnalysIR - Batch Export Utility</t>
  </si>
  <si>
    <t>Registered to: Vincent.Cruvellier@free.fr</t>
  </si>
  <si>
    <t>Session History</t>
  </si>
  <si>
    <t>Type : Key : Value : Bits</t>
  </si>
  <si>
    <t>0 : MITSUBISHI288AC :  : C4D36480000010A00CA2CA00000000000057C4D36480000010A00CA2CA00000000000057 : 288</t>
  </si>
  <si>
    <t>1 : MITSUBISHI288AC :  : C4D36480000410A00CA2CA00000000000050C4D36480000410A00CA2CA00000000000050 : 288</t>
  </si>
  <si>
    <t>2 : MITSUBISHI288AC :  : C4D36480000410200CA2CA00000000000090C4D36480000410200CA2CA00000000000090 : 288</t>
  </si>
  <si>
    <t>3 : MITSUBISHI288AC :  : C4D36480000410C00CA2CA00000000000010C4D36480000410C00CA2CA00000000000010 : 288</t>
  </si>
  <si>
    <t>*/</t>
  </si>
  <si>
    <t>// NB: Not all protocols are supported by IRremote or IRLib. You may need to edit the code below manually</t>
  </si>
  <si>
    <t>// Automatically Generated by AnalysIR for Vincent.Cruvellier@free.fr, visit http://www.AnalysIR.com or email info@....... for further details</t>
  </si>
  <si>
    <t>int khz=38; //NB Change this default value as neccessary to the correct modulation frequency</t>
  </si>
  <si>
    <t>irsend.sendRaw(Signal_0_0, sizeof(Signal_0_0)/sizeof(int), khz); //AnalysIR Batch Export - RAW</t>
  </si>
  <si>
    <t xml:space="preserve"> // AnalysIR IR Protocol: MITSUBISHI288AC, Key:  </t>
  </si>
  <si>
    <t>irsend.sendRaw(Signal_1_1, sizeof(Signal_1_1)/sizeof(int), khz); //AnalysIR Batch Export - RAW</t>
  </si>
  <si>
    <t>irsend.sendRaw(Signal_2_2, sizeof(Signal_2_2)/sizeof(int), khz); //AnalysIR Batch Export - RAW</t>
  </si>
  <si>
    <t>OFF</t>
  </si>
  <si>
    <t>Bin 1</t>
  </si>
  <si>
    <t>Bin 2</t>
  </si>
  <si>
    <t>Bin 3</t>
  </si>
  <si>
    <t>Bin 4</t>
  </si>
  <si>
    <t>Bin 5</t>
  </si>
  <si>
    <t>Bin 6</t>
  </si>
  <si>
    <t>Bin 7</t>
  </si>
  <si>
    <t>Bin 8</t>
  </si>
  <si>
    <t>Bin 9</t>
  </si>
  <si>
    <t>Bin 10</t>
  </si>
  <si>
    <t>Bin 11</t>
  </si>
  <si>
    <t>Bin 12</t>
  </si>
  <si>
    <t>Bin 13</t>
  </si>
  <si>
    <t>Bin 14</t>
  </si>
  <si>
    <t>Bin 15</t>
  </si>
  <si>
    <t>Bin 16</t>
  </si>
  <si>
    <t>Bin 17</t>
  </si>
  <si>
    <t>Bin 18</t>
  </si>
  <si>
    <t>00000000</t>
  </si>
  <si>
    <t>0 : RAW :  :  : 0</t>
  </si>
  <si>
    <t>1 : MITSUBISHI288AC :  : C4D36480000010A00CA22A000000000000D7C4D36480000010A00CA22A000000000000D7 : 288</t>
  </si>
  <si>
    <t>2 : MITSUBISHI288AC :  : C4D36480000410A00CA22A000000000000D0C4D36480000410A00CA22A000000000000D0 : 288</t>
  </si>
  <si>
    <t>unsigned int Signal_0_0[] = {168}; //AnalysIR Batch Export - RAW</t>
  </si>
  <si>
    <t xml:space="preserve"> // AnalysIR IR Protocol: RAW, Key:  </t>
  </si>
  <si>
    <t>unsigned int Signal_1_1[] = {3444,1728,448,1276,412,1320,476,388,452,412,416,460,412,1316,416,456,452,416,412,1320,412,1316,440,436,448,1272,440,440,416,456,452,1276,480,1248,452,420,452,1268,440,1292,440,432,452,416,412,1316,444,424,412,456,412,1316,416,460,448,420,452,412,412,464,452,412,412,456,452,416,416,460,412,456,412,460,452,412,412,460,448,416,448,420,412,456,452,412,452,416,452,416,452,416,412,456,452,416,412,460,412,456,452,416,452,416,452,416,452,1272,444,420,412,456,456,412,452,416,448,1272,448,424,452,1272,412,460,452,416,476,404,452,416,412,468,452,412,452,416,452,420,452,416,452,1268,416,1316,480,392,452,412,452,1276,444,428,452,1272,412,456,412,460,412,460,452,1276,440,436,452,412,464,412,432,1300,448,436,452,1268,448,420,452,1276,452,420,452,412,464,412,432,440,412,456,412,460,412,456,456,412,416,456,452,412,452,416,452,416,452,416,412,456,452,412,416,460,412,456,452,416,448,420,448,420,448,420,452,416,448,416,452,420,452,416,452,416,412,460,452,412,416,456,452,416,452,412,452,416,452,416,452,412,452,416,452,416,452,416,452,424,412,460,452,412,412,456,452,416,452,416,452,420,412,456,416,452,416,456,452,412,452,420,452,1272,444,1284,440,432,412,1316,416,452,412,1312,416,1316,416,1320,436,16383,3560,1744,464,1264,480,1248,448,420,412,460,452,412,412,1316,480,392,452,416,452,1276,448,1276,448,420,452,1280,448,424,452,412,416,1316,448,1276,444,428,412,1316,480,1244,480,388,412,460,412,1316,412,460,452,416,452,1268,440,428,452,416,452,420,452,420,452,416,412,456,448,420,448,420,452,416,452,416,452,416,416,456,452,416,416,460,452,416,412,452,452,420,448,420,452,412,456,416,452,416,448,420,452,416,448,416,412,456,412,460,432,1300,444,424,412,460,452,416,412,456,452,1272,456,416,412,1316,440,428,412,460,452,412,452,416,412,468,452,412,452,416,452,420,452,416,452,1272,436,1300,412,460,452,420,448,1272,480,392,448,1272,448,420,452,416,416,460,472,1264,452,420,452,412,452,416,448,1276,444,428,452,1272,480,388,452,1272,440,436,452,416,452,416,452,416,452,416,452,416,452,412,452,416,452,416,452,416,412,460,452,412,416,460,452,424,412,460,452,416,412,456,476,404,452,416,452,412,412,460,416,456,452,412,452,420,452,412,452,416,412,456,416,456,412,456,416,456,412,464,412,456,452,420,452,416,452,412,452,420,412,460,452,412,452,416,448,428,452,416,452,420,452,412,452,416,452,420,412,456,412,456,416,460,452,420,452,1272,436,1288,416,456,412,1316,412,460,412,1316,440,1284,416,1332,448}; //AnalysIR Batch Export - RAW</t>
  </si>
  <si>
    <t>unsigned int Signal_2_2[] = {3424,1744,440,1288,412,1320,480,388,452,416,452,412,412,1316,440,432,452,416,412,1312,480,1244,472,404,412,1316,444,424,412,456,412,1316,416,1312,448,424,412,1312,480,1244,416,456,452,416,412,1316,452,416,452,420,452,1272,436,432,416,452,412,456,412,460,412,456,452,416,452,416,452,412,436,440,436,440,412,456,412,456,412,460,452,416,412,456,452,412,452,416,412,456,452,416,412,456,452,1272,440,428,412,456,452,416,476,408,432,440,412,1312,412,460,452,420,412,460,452,416,452,1272,416,452,416,1312,440,428,452,412,416,452,452,416,452,416,452,416,452,412,452,416,452,416,452,1272,412,1312,416,460,448,416,452,1272,416,452,452,1280,408,456,416,464,412,460,452,1272,416,456,452,416,452,416,452,1272,412,460,452,1268,416,456,416,1324,440,428,452,416,416,452,452,416,412,460,412,456,412,456,412,456,452,420,416,456,412,456,452,412,452,416,416,456,452,416,452,416,452,416,412,456,452,416,452,416,412,456,412,464,416,456,452,416,412,456,412,456,452,416,452,420,448,416,412,460,412,460,452,412,452,416,452,416,452,416,416,452,452,416,452,412,452,416,452,424,412,456,452,420,412,456,448,416,412,460,412,456,416,456,412,460,452,420,412,1312,416,1312,416,460,412,1316,412,456,452,416,448,416,412,460,452,16383,3556,1748,480,1248,444,1284,476,388,452,420,452,416,452,1268,444,428,412,460,412,1312,412,1316,448,424,412,1312,412,460,452,416,452,1272,412,1316,412,460,412,1316,480,1248,412,456,412,460,416,1312,440,428,412,456,412,1316,480,388,452,412,416,452,452,416,412,456,412,464,412,456,412,460,412,456,416,456,452,412,452,416,452,416,416,452,416,456,452,412,416,460,448,420,468,408,412,456,412,1316,436,432,452,416,452,416,412,456,412,460,412,1312,412,460,412,456,412,460,452,412,412,1312,440,428,452,1276,416,452,416,456,412,456,452,416,452,416,452,412,440,436,436,440,412,456,412,1316,452,1272,416,460,412,456,452,1276,412,460,412,1312,452,420,412,456,412,460,452,1280,440,424,412,460,412,456,448,1276,412,460,412,1312,440,432,412,1316,412,460,452,416,452,416,452,412,412,460,412,456,416,452,452,416,412,456,452,416,412,456,416,452,416,456,416,456,412,464,412,456,452,416,416,452,452,416,452,420,412,456,452,416,452,416,448,428,412,456,452,416,412,456,452,416,412,456,412,460,412,460,412,460,452,416,412,460,416,456,452,416,412,456,452,416,452,412,416,452,452,416,452,416,452,412,416,456,452,412,452,424,412,460,452,416,412,456,452,1276,476,1248,476,388,452,1272,416,456,452,416,452,416,452,416,452}; //AnalysIR Batch Export - RAW</t>
  </si>
  <si>
    <t>On/OFF</t>
  </si>
  <si>
    <t>TIME</t>
  </si>
  <si>
    <t>FAN</t>
  </si>
  <si>
    <t>Mode</t>
  </si>
  <si>
    <t>Vanne</t>
  </si>
  <si>
    <t>temp</t>
  </si>
  <si>
    <t>00100011</t>
  </si>
  <si>
    <t>11001011</t>
  </si>
  <si>
    <t>00100110</t>
  </si>
  <si>
    <t>00000001</t>
  </si>
  <si>
    <t>00100000</t>
  </si>
  <si>
    <t>00001000</t>
  </si>
  <si>
    <t>00000101</t>
  </si>
  <si>
    <t>00110000</t>
  </si>
  <si>
    <t>01000101</t>
  </si>
  <si>
    <t>01010100</t>
  </si>
  <si>
    <t>00001011</t>
  </si>
  <si>
    <t>11101011</t>
  </si>
  <si>
    <t>BYTE 18 CRC</t>
  </si>
  <si>
    <t>400407200000006040040720009234018C0000700708008000608C</t>
  </si>
  <si>
    <t>PACKET 1</t>
  </si>
  <si>
    <t>PACKET 2</t>
  </si>
  <si>
    <t>HEAT</t>
  </si>
  <si>
    <t>HH</t>
  </si>
  <si>
    <t>400407200000006040040720001274018C0000700708008000604C</t>
  </si>
  <si>
    <t>40040720000000604004072000120C018C0000700708008000602C</t>
  </si>
  <si>
    <t>400407200000006040040720001234018C0000700708008000600C</t>
  </si>
  <si>
    <t>400407200000006040040720001254018C00007007080080006074</t>
  </si>
  <si>
    <t>400407200000006040040720009254018C000070070800800060F4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</si>
</sst>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Font="1" applyFill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0</xdr:row>
      <xdr:rowOff>104775</xdr:rowOff>
    </xdr:from>
    <xdr:to>
      <xdr:col>14</xdr:col>
      <xdr:colOff>427323</xdr:colOff>
      <xdr:row>31</xdr:row>
      <xdr:rowOff>113561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" y="104775"/>
          <a:ext cx="10419048" cy="59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V17"/>
  <sheetViews>
    <sheetView tabSelected="1" topLeftCell="D1" workbookViewId="0">
      <selection activeCell="AV27" sqref="AV27"/>
    </sheetView>
  </sheetViews>
  <sheetFormatPr baseColWidth="10" defaultRowHeight="15" x14ac:dyDescent="0.25"/>
  <cols>
    <col min="1" max="1" width="56.42578125" bestFit="1" customWidth="1"/>
    <col min="2" max="2" width="17.140625" bestFit="1" customWidth="1"/>
    <col min="3" max="3" width="40.140625" bestFit="1" customWidth="1"/>
    <col min="4" max="4" width="6.5703125" customWidth="1"/>
    <col min="5" max="5" width="5.85546875" bestFit="1" customWidth="1"/>
    <col min="6" max="6" width="13.85546875" customWidth="1"/>
    <col min="7" max="8" width="5.28515625" customWidth="1"/>
    <col min="9" max="9" width="4.7109375" bestFit="1" customWidth="1"/>
    <col min="10" max="23" width="3" bestFit="1" customWidth="1"/>
    <col min="24" max="24" width="3.140625" bestFit="1" customWidth="1"/>
    <col min="25" max="25" width="3" bestFit="1" customWidth="1"/>
    <col min="26" max="26" width="3.140625" bestFit="1" customWidth="1"/>
    <col min="27" max="27" width="3" bestFit="1" customWidth="1"/>
    <col min="28" max="28" width="3" customWidth="1"/>
    <col min="29" max="29" width="4" customWidth="1"/>
    <col min="30" max="30" width="2.28515625" customWidth="1"/>
    <col min="31" max="31" width="3" bestFit="1" customWidth="1"/>
    <col min="32" max="32" width="3.28515625" bestFit="1" customWidth="1"/>
    <col min="33" max="37" width="3" bestFit="1" customWidth="1"/>
    <col min="38" max="38" width="4" bestFit="1" customWidth="1"/>
    <col min="39" max="39" width="3.140625" bestFit="1" customWidth="1"/>
    <col min="40" max="40" width="3.28515625" style="2" bestFit="1" customWidth="1"/>
    <col min="41" max="41" width="3.42578125" bestFit="1" customWidth="1"/>
    <col min="42" max="48" width="3" bestFit="1" customWidth="1"/>
    <col min="49" max="49" width="3" customWidth="1"/>
    <col min="50" max="50" width="3" bestFit="1" customWidth="1"/>
    <col min="51" max="57" width="9" bestFit="1" customWidth="1"/>
    <col min="58" max="58" width="12" bestFit="1" customWidth="1"/>
    <col min="59" max="59" width="5" bestFit="1" customWidth="1"/>
    <col min="60" max="60" width="9" bestFit="1" customWidth="1"/>
    <col min="61" max="61" width="9" style="1" bestFit="1" customWidth="1"/>
    <col min="62" max="62" width="9" customWidth="1"/>
    <col min="63" max="63" width="9" bestFit="1" customWidth="1"/>
    <col min="64" max="64" width="9" customWidth="1"/>
    <col min="65" max="65" width="9" bestFit="1" customWidth="1"/>
    <col min="66" max="66" width="9" customWidth="1"/>
    <col min="67" max="67" width="9" bestFit="1" customWidth="1"/>
    <col min="68" max="68" width="9" customWidth="1"/>
    <col min="69" max="69" width="9" bestFit="1" customWidth="1"/>
    <col min="70" max="70" width="9" customWidth="1"/>
    <col min="71" max="74" width="9" bestFit="1" customWidth="1"/>
  </cols>
  <sheetData>
    <row r="1" spans="1:74" x14ac:dyDescent="0.25">
      <c r="A1" t="s">
        <v>66</v>
      </c>
      <c r="B1" t="str">
        <f>LEFT(A1,16)</f>
        <v>4004072000000060</v>
      </c>
      <c r="C1" t="str">
        <f>RIGHT(A1,(27*2)-16)</f>
        <v>40040720009234018C0000700708008000608C</v>
      </c>
    </row>
    <row r="2" spans="1:74" x14ac:dyDescent="0.25">
      <c r="A2" t="str">
        <f>HEX2BIN("C4")</f>
        <v>11000100</v>
      </c>
      <c r="E2">
        <v>216</v>
      </c>
      <c r="F2">
        <f>E2/8</f>
        <v>27</v>
      </c>
      <c r="AN2"/>
    </row>
    <row r="3" spans="1:74" x14ac:dyDescent="0.25">
      <c r="AN3"/>
    </row>
    <row r="4" spans="1:74" x14ac:dyDescent="0.25">
      <c r="AN4"/>
    </row>
    <row r="5" spans="1:74" x14ac:dyDescent="0.25">
      <c r="BD5" t="s">
        <v>47</v>
      </c>
      <c r="BF5" t="s">
        <v>52</v>
      </c>
    </row>
    <row r="6" spans="1:74" x14ac:dyDescent="0.25">
      <c r="B6" t="s">
        <v>67</v>
      </c>
      <c r="C6" t="s">
        <v>68</v>
      </c>
      <c r="D6" t="s">
        <v>48</v>
      </c>
      <c r="E6" t="s">
        <v>2</v>
      </c>
      <c r="F6" t="s">
        <v>1</v>
      </c>
      <c r="G6" t="s">
        <v>50</v>
      </c>
      <c r="H6" t="s">
        <v>51</v>
      </c>
      <c r="I6" t="s">
        <v>49</v>
      </c>
      <c r="J6">
        <v>1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  <c r="Q6">
        <v>8</v>
      </c>
      <c r="R6">
        <v>9</v>
      </c>
      <c r="S6">
        <v>10</v>
      </c>
      <c r="T6">
        <v>11</v>
      </c>
      <c r="U6">
        <v>12</v>
      </c>
      <c r="V6">
        <v>13</v>
      </c>
      <c r="W6">
        <v>14</v>
      </c>
      <c r="X6">
        <v>15</v>
      </c>
      <c r="Y6">
        <v>16</v>
      </c>
      <c r="Z6">
        <v>17</v>
      </c>
      <c r="AA6">
        <v>18</v>
      </c>
      <c r="AB6">
        <v>19</v>
      </c>
      <c r="AE6">
        <v>1</v>
      </c>
      <c r="AF6">
        <v>2</v>
      </c>
      <c r="AG6">
        <v>3</v>
      </c>
      <c r="AH6">
        <v>4</v>
      </c>
      <c r="AI6">
        <v>5</v>
      </c>
      <c r="AJ6">
        <v>6</v>
      </c>
      <c r="AK6">
        <v>7</v>
      </c>
      <c r="AL6">
        <v>8</v>
      </c>
      <c r="AM6">
        <v>9</v>
      </c>
      <c r="AN6" s="2">
        <v>10</v>
      </c>
      <c r="AO6">
        <v>11</v>
      </c>
      <c r="AP6">
        <v>12</v>
      </c>
      <c r="AQ6">
        <v>13</v>
      </c>
      <c r="AR6">
        <v>14</v>
      </c>
      <c r="AS6">
        <v>15</v>
      </c>
      <c r="AT6">
        <v>16</v>
      </c>
      <c r="AU6">
        <v>17</v>
      </c>
      <c r="AV6">
        <v>18</v>
      </c>
      <c r="AW6">
        <v>19</v>
      </c>
      <c r="AY6" t="s">
        <v>21</v>
      </c>
      <c r="AZ6" t="s">
        <v>22</v>
      </c>
      <c r="BA6" t="s">
        <v>23</v>
      </c>
      <c r="BB6" t="s">
        <v>24</v>
      </c>
      <c r="BC6" t="s">
        <v>25</v>
      </c>
      <c r="BD6" t="s">
        <v>26</v>
      </c>
      <c r="BE6" t="s">
        <v>27</v>
      </c>
      <c r="BF6" t="s">
        <v>28</v>
      </c>
      <c r="BH6" t="s">
        <v>29</v>
      </c>
      <c r="BI6" s="1" t="s">
        <v>30</v>
      </c>
      <c r="BK6" t="s">
        <v>31</v>
      </c>
      <c r="BM6" t="s">
        <v>32</v>
      </c>
      <c r="BO6" t="s">
        <v>33</v>
      </c>
      <c r="BQ6" t="s">
        <v>34</v>
      </c>
      <c r="BS6" t="s">
        <v>35</v>
      </c>
      <c r="BT6" t="s">
        <v>36</v>
      </c>
      <c r="BU6" t="s">
        <v>37</v>
      </c>
      <c r="BV6" t="s">
        <v>38</v>
      </c>
    </row>
    <row r="7" spans="1:74" x14ac:dyDescent="0.25">
      <c r="A7" t="s">
        <v>66</v>
      </c>
      <c r="B7" t="str">
        <f>LEFT(A7,16)</f>
        <v>4004072000000060</v>
      </c>
      <c r="C7" t="str">
        <f>RIGHT(A7,(27*2)-16)</f>
        <v>40040720009234018C0000700708008000608C</v>
      </c>
      <c r="E7">
        <v>22</v>
      </c>
      <c r="F7" t="s">
        <v>0</v>
      </c>
      <c r="G7" t="s">
        <v>69</v>
      </c>
      <c r="H7" t="s">
        <v>70</v>
      </c>
      <c r="I7">
        <v>1</v>
      </c>
      <c r="J7" t="str">
        <f>RIGHT(LEFT($C7,2*J$6),2)</f>
        <v>40</v>
      </c>
      <c r="K7" t="str">
        <f t="shared" ref="K7:AA15" si="0">RIGHT(LEFT($C7,2*K$6),2)</f>
        <v>04</v>
      </c>
      <c r="L7" t="str">
        <f t="shared" si="0"/>
        <v>07</v>
      </c>
      <c r="M7" t="str">
        <f t="shared" si="0"/>
        <v>20</v>
      </c>
      <c r="N7" t="str">
        <f t="shared" si="0"/>
        <v>00</v>
      </c>
      <c r="O7" t="str">
        <f t="shared" si="0"/>
        <v>92</v>
      </c>
      <c r="P7" t="str">
        <f t="shared" si="0"/>
        <v>34</v>
      </c>
      <c r="Q7" t="str">
        <f t="shared" si="0"/>
        <v>01</v>
      </c>
      <c r="R7" t="str">
        <f t="shared" si="0"/>
        <v>8C</v>
      </c>
      <c r="S7" t="str">
        <f t="shared" si="0"/>
        <v>00</v>
      </c>
      <c r="T7" t="str">
        <f>RIGHT(LEFT($C7,2*T$6),2)</f>
        <v>00</v>
      </c>
      <c r="U7" t="str">
        <f t="shared" si="0"/>
        <v>70</v>
      </c>
      <c r="V7" t="str">
        <f t="shared" si="0"/>
        <v>07</v>
      </c>
      <c r="W7" t="str">
        <f t="shared" si="0"/>
        <v>08</v>
      </c>
      <c r="X7" t="str">
        <f t="shared" si="0"/>
        <v>00</v>
      </c>
      <c r="Y7" t="str">
        <f t="shared" si="0"/>
        <v>80</v>
      </c>
      <c r="Z7" t="str">
        <f t="shared" si="0"/>
        <v>00</v>
      </c>
      <c r="AA7" t="str">
        <f t="shared" si="0"/>
        <v>60</v>
      </c>
      <c r="AB7" t="str">
        <f>RIGHT(LEFT($C7,2*AB$6),2)</f>
        <v>8C</v>
      </c>
      <c r="AC7">
        <f>HEX2DEC(AB7)</f>
        <v>140</v>
      </c>
      <c r="AE7" t="str">
        <f>BIN2HEX(ReverseText(HEX2BIN(J7,8)),2)</f>
        <v>02</v>
      </c>
      <c r="AF7" t="str">
        <f>BIN2HEX(ReverseText(HEX2BIN(K7,8)),2)</f>
        <v>20</v>
      </c>
      <c r="AG7" t="str">
        <f>BIN2HEX(ReverseText(HEX2BIN(L7,8)),2)</f>
        <v>E0</v>
      </c>
      <c r="AH7" t="str">
        <f>BIN2HEX(ReverseText(HEX2BIN(M7,8)),2)</f>
        <v>04</v>
      </c>
      <c r="AI7" t="str">
        <f>BIN2HEX(ReverseText(HEX2BIN(N7,8)),2)</f>
        <v>00</v>
      </c>
      <c r="AJ7" t="str">
        <f>BIN2HEX(ReverseText(HEX2BIN(O7,8)),2)</f>
        <v>49</v>
      </c>
      <c r="AK7" t="str">
        <f>BIN2HEX(ReverseText(HEX2BIN(P7,8)),2)</f>
        <v>2C</v>
      </c>
      <c r="AL7" t="str">
        <f>BIN2HEX(ReverseText(HEX2BIN(Q7,8)),2)</f>
        <v>80</v>
      </c>
      <c r="AM7" t="str">
        <f>BIN2HEX(ReverseText(HEX2BIN(R7,8)),2)</f>
        <v>31</v>
      </c>
      <c r="AN7" s="2" t="str">
        <f>BIN2HEX(ReverseText(HEX2BIN(S7,8)),2)</f>
        <v>00</v>
      </c>
      <c r="AO7" t="str">
        <f>BIN2HEX(ReverseText(HEX2BIN(T7,8)),2)</f>
        <v>00</v>
      </c>
      <c r="AP7" t="str">
        <f>BIN2HEX(ReverseText(HEX2BIN(U7,8)),2)</f>
        <v>0E</v>
      </c>
      <c r="AQ7" t="str">
        <f>BIN2HEX(ReverseText(HEX2BIN(V7,8)),2)</f>
        <v>E0</v>
      </c>
      <c r="AR7" t="str">
        <f>BIN2HEX(ReverseText(HEX2BIN(W7,8)),2)</f>
        <v>10</v>
      </c>
      <c r="AS7" t="str">
        <f>BIN2HEX(ReverseText(HEX2BIN(X7,8)),2)</f>
        <v>00</v>
      </c>
      <c r="AT7" t="str">
        <f>BIN2HEX(ReverseText(HEX2BIN(Y7,8)),2)</f>
        <v>01</v>
      </c>
      <c r="AU7" t="str">
        <f>BIN2HEX(ReverseText(HEX2BIN(Z7,8)),2)</f>
        <v>00</v>
      </c>
      <c r="AV7" t="str">
        <f>BIN2HEX(ReverseText(HEX2BIN(AA7,8)),2)</f>
        <v>06</v>
      </c>
      <c r="AW7" t="str">
        <f>BIN2HEX(ReverseText(HEX2BIN(AB7,8)),2)</f>
        <v>31</v>
      </c>
      <c r="AX7">
        <f>HEX2DEC(AW7)</f>
        <v>49</v>
      </c>
      <c r="AY7" s="3" t="str">
        <f t="shared" ref="AY7:BF7" si="1">HEX2BIN(AE7,8)</f>
        <v>00000010</v>
      </c>
      <c r="AZ7" s="3" t="str">
        <f t="shared" si="1"/>
        <v>00100000</v>
      </c>
      <c r="BA7" s="3" t="str">
        <f t="shared" si="1"/>
        <v>11100000</v>
      </c>
      <c r="BB7" s="3" t="str">
        <f t="shared" si="1"/>
        <v>00000100</v>
      </c>
      <c r="BC7" s="3" t="str">
        <f t="shared" si="1"/>
        <v>00000000</v>
      </c>
      <c r="BD7" s="3" t="str">
        <f t="shared" si="1"/>
        <v>01001001</v>
      </c>
      <c r="BE7" s="3" t="str">
        <f t="shared" si="1"/>
        <v>00101100</v>
      </c>
      <c r="BF7" s="3" t="str">
        <f t="shared" si="1"/>
        <v>10000000</v>
      </c>
      <c r="BG7" s="3"/>
      <c r="BH7" s="3" t="str">
        <f>HEX2BIN(AM7,8)</f>
        <v>00110001</v>
      </c>
      <c r="BI7" s="6" t="str">
        <f>HEX2BIN(AN7,8)</f>
        <v>00000000</v>
      </c>
      <c r="BJ7" s="3"/>
      <c r="BK7" s="3" t="str">
        <f>HEX2BIN(AO7,8)</f>
        <v>00000000</v>
      </c>
      <c r="BL7" s="3"/>
      <c r="BM7" s="3" t="str">
        <f>HEX2BIN(AP7,8)</f>
        <v>00001110</v>
      </c>
      <c r="BN7" s="3"/>
      <c r="BO7" s="3" t="str">
        <f>HEX2BIN(AQ7,8)</f>
        <v>11100000</v>
      </c>
      <c r="BP7" s="3"/>
      <c r="BQ7" s="3" t="str">
        <f>HEX2BIN(AR7,8)</f>
        <v>00010000</v>
      </c>
      <c r="BR7" s="3"/>
      <c r="BS7" s="3" t="str">
        <f>HEX2BIN(AS7,8)</f>
        <v>00000000</v>
      </c>
      <c r="BT7" s="3" t="str">
        <f>HEX2BIN(AT7,8)</f>
        <v>00000001</v>
      </c>
      <c r="BU7" s="3" t="str">
        <f>HEX2BIN(AU7,8)</f>
        <v>00000000</v>
      </c>
      <c r="BV7" s="3" t="str">
        <f>HEX2BIN(AV7,8)</f>
        <v>00000110</v>
      </c>
    </row>
    <row r="8" spans="1:74" x14ac:dyDescent="0.25">
      <c r="A8" t="s">
        <v>66</v>
      </c>
      <c r="B8" t="str">
        <f t="shared" ref="B8:B15" si="2">LEFT(A8,16)</f>
        <v>4004072000000060</v>
      </c>
      <c r="C8" t="str">
        <f>RIGHT(A8,(27*2)-16)</f>
        <v>40040720009234018C0000700708008000608C</v>
      </c>
      <c r="E8">
        <v>22</v>
      </c>
      <c r="F8" t="s">
        <v>20</v>
      </c>
      <c r="G8" t="s">
        <v>69</v>
      </c>
      <c r="H8" t="s">
        <v>70</v>
      </c>
      <c r="I8">
        <v>1</v>
      </c>
      <c r="J8" t="str">
        <f t="shared" ref="J8:J15" si="3">RIGHT(LEFT($C8,2*J$6),2)</f>
        <v>40</v>
      </c>
      <c r="K8" t="str">
        <f t="shared" si="0"/>
        <v>04</v>
      </c>
      <c r="L8" t="str">
        <f t="shared" si="0"/>
        <v>07</v>
      </c>
      <c r="M8" t="str">
        <f t="shared" si="0"/>
        <v>20</v>
      </c>
      <c r="N8" t="str">
        <f t="shared" si="0"/>
        <v>00</v>
      </c>
      <c r="O8" t="str">
        <f t="shared" si="0"/>
        <v>92</v>
      </c>
      <c r="P8" t="str">
        <f t="shared" si="0"/>
        <v>34</v>
      </c>
      <c r="Q8" t="str">
        <f t="shared" si="0"/>
        <v>01</v>
      </c>
      <c r="R8" t="str">
        <f t="shared" si="0"/>
        <v>8C</v>
      </c>
      <c r="S8" t="str">
        <f t="shared" si="0"/>
        <v>00</v>
      </c>
      <c r="T8" t="str">
        <f t="shared" si="0"/>
        <v>00</v>
      </c>
      <c r="U8" t="str">
        <f t="shared" si="0"/>
        <v>70</v>
      </c>
      <c r="V8" t="str">
        <f t="shared" si="0"/>
        <v>07</v>
      </c>
      <c r="W8" t="str">
        <f t="shared" si="0"/>
        <v>08</v>
      </c>
      <c r="X8" t="str">
        <f t="shared" si="0"/>
        <v>00</v>
      </c>
      <c r="Y8" t="str">
        <f t="shared" si="0"/>
        <v>80</v>
      </c>
      <c r="Z8" t="str">
        <f t="shared" si="0"/>
        <v>00</v>
      </c>
      <c r="AA8" t="str">
        <f t="shared" si="0"/>
        <v>60</v>
      </c>
      <c r="AB8" t="str">
        <f t="shared" ref="AB8:AB15" si="4">RIGHT(LEFT($C8,2*AB$6),2)</f>
        <v>8C</v>
      </c>
      <c r="AC8">
        <f t="shared" ref="AC8:AC15" si="5">HEX2DEC(AB8)</f>
        <v>140</v>
      </c>
      <c r="AE8" t="str">
        <f>BIN2HEX(ReverseText(HEX2BIN(J8,8)),2)</f>
        <v>02</v>
      </c>
      <c r="AF8" t="str">
        <f>BIN2HEX(ReverseText(HEX2BIN(K8,8)),2)</f>
        <v>20</v>
      </c>
      <c r="AG8" t="str">
        <f>BIN2HEX(ReverseText(HEX2BIN(L8,8)),2)</f>
        <v>E0</v>
      </c>
      <c r="AH8" t="str">
        <f>BIN2HEX(ReverseText(HEX2BIN(M8,8)),2)</f>
        <v>04</v>
      </c>
      <c r="AI8" t="str">
        <f>BIN2HEX(ReverseText(HEX2BIN(N8,8)),2)</f>
        <v>00</v>
      </c>
      <c r="AJ8" t="str">
        <f>BIN2HEX(ReverseText(HEX2BIN(O8,8)),2)</f>
        <v>49</v>
      </c>
      <c r="AK8" t="str">
        <f>BIN2HEX(ReverseText(HEX2BIN(P8,8)),2)</f>
        <v>2C</v>
      </c>
      <c r="AL8" t="str">
        <f>BIN2HEX(ReverseText(HEX2BIN(Q8,8)),2)</f>
        <v>80</v>
      </c>
      <c r="AM8" t="str">
        <f>BIN2HEX(ReverseText(HEX2BIN(R8,8)),2)</f>
        <v>31</v>
      </c>
      <c r="AN8" s="2" t="str">
        <f>BIN2HEX(ReverseText(HEX2BIN(S8,8)),2)</f>
        <v>00</v>
      </c>
      <c r="AO8" t="str">
        <f>BIN2HEX(ReverseText(HEX2BIN(T8,8)),2)</f>
        <v>00</v>
      </c>
      <c r="AP8" t="str">
        <f>BIN2HEX(ReverseText(HEX2BIN(U8,8)),2)</f>
        <v>0E</v>
      </c>
      <c r="AQ8" t="str">
        <f>BIN2HEX(ReverseText(HEX2BIN(V8,8)),2)</f>
        <v>E0</v>
      </c>
      <c r="AR8" t="str">
        <f>BIN2HEX(ReverseText(HEX2BIN(W8,8)),2)</f>
        <v>10</v>
      </c>
      <c r="AS8" t="str">
        <f>BIN2HEX(ReverseText(HEX2BIN(X8,8)),2)</f>
        <v>00</v>
      </c>
      <c r="AT8" t="str">
        <f>BIN2HEX(ReverseText(HEX2BIN(Y8,8)),2)</f>
        <v>01</v>
      </c>
      <c r="AU8" t="str">
        <f>BIN2HEX(ReverseText(HEX2BIN(Z8,8)),2)</f>
        <v>00</v>
      </c>
      <c r="AV8" t="str">
        <f>BIN2HEX(ReverseText(HEX2BIN(AA8,8)),2)</f>
        <v>06</v>
      </c>
      <c r="AW8" t="str">
        <f>BIN2HEX(ReverseText(HEX2BIN(AB8,8)),2)</f>
        <v>31</v>
      </c>
      <c r="AX8">
        <f t="shared" ref="AX8:AX15" si="6">HEX2DEC(AW8)</f>
        <v>49</v>
      </c>
      <c r="AY8" s="3" t="str">
        <f t="shared" ref="AY8:AY11" si="7">HEX2BIN(AE8,8)</f>
        <v>00000010</v>
      </c>
      <c r="AZ8" s="3" t="str">
        <f t="shared" ref="AZ8:AZ11" si="8">HEX2BIN(AF8,8)</f>
        <v>00100000</v>
      </c>
      <c r="BA8" s="3" t="str">
        <f t="shared" ref="BA8:BA11" si="9">HEX2BIN(AG8,8)</f>
        <v>11100000</v>
      </c>
      <c r="BB8" s="3" t="str">
        <f t="shared" ref="BB8:BB11" si="10">HEX2BIN(AH8,8)</f>
        <v>00000100</v>
      </c>
      <c r="BC8" s="3" t="str">
        <f t="shared" ref="BC8:BC11" si="11">HEX2BIN(AI8,8)</f>
        <v>00000000</v>
      </c>
      <c r="BD8" s="3" t="str">
        <f t="shared" ref="BD8:BD11" si="12">HEX2BIN(AJ8,8)</f>
        <v>01001001</v>
      </c>
      <c r="BE8" s="3" t="str">
        <f t="shared" ref="BE8:BE11" si="13">HEX2BIN(AK8,8)</f>
        <v>00101100</v>
      </c>
      <c r="BF8" s="3" t="str">
        <f t="shared" ref="BF8:BF11" si="14">HEX2BIN(AL8,8)</f>
        <v>10000000</v>
      </c>
      <c r="BG8" s="3"/>
      <c r="BH8" s="3" t="str">
        <f t="shared" ref="BH8:BH11" si="15">HEX2BIN(AM8,8)</f>
        <v>00110001</v>
      </c>
      <c r="BI8" s="6" t="str">
        <f t="shared" ref="BI8:BI11" si="16">HEX2BIN(AN8,8)</f>
        <v>00000000</v>
      </c>
      <c r="BJ8" s="3"/>
      <c r="BK8" s="3" t="str">
        <f t="shared" ref="BK8:BK11" si="17">HEX2BIN(AO8,8)</f>
        <v>00000000</v>
      </c>
      <c r="BL8" s="3"/>
      <c r="BM8" s="3" t="str">
        <f t="shared" ref="BM8:BM11" si="18">HEX2BIN(AP8,8)</f>
        <v>00001110</v>
      </c>
      <c r="BN8" s="3"/>
      <c r="BO8" s="3" t="str">
        <f t="shared" ref="BO8:BO11" si="19">HEX2BIN(AQ8,8)</f>
        <v>11100000</v>
      </c>
      <c r="BP8" s="3"/>
      <c r="BQ8" s="3" t="str">
        <f t="shared" ref="BQ8:BQ11" si="20">HEX2BIN(AR8,8)</f>
        <v>00010000</v>
      </c>
      <c r="BR8" s="3"/>
      <c r="BS8" s="3" t="str">
        <f t="shared" ref="BS8:BS11" si="21">HEX2BIN(AS8,8)</f>
        <v>00000000</v>
      </c>
      <c r="BT8" s="3" t="str">
        <f t="shared" ref="BT8:BT11" si="22">HEX2BIN(AT8,8)</f>
        <v>00000001</v>
      </c>
      <c r="BU8" s="3" t="str">
        <f t="shared" ref="BU8:BU11" si="23">HEX2BIN(AU8,8)</f>
        <v>00000000</v>
      </c>
      <c r="BV8" s="3" t="str">
        <f t="shared" ref="BV8:BV11" si="24">HEX2BIN(AV8,8)</f>
        <v>00000110</v>
      </c>
    </row>
    <row r="9" spans="1:74" x14ac:dyDescent="0.25">
      <c r="A9" t="s">
        <v>71</v>
      </c>
      <c r="B9" t="str">
        <f t="shared" si="2"/>
        <v>4004072000000060</v>
      </c>
      <c r="C9" t="str">
        <f>RIGHT(A9,(27*2)-16)</f>
        <v>40040720001274018C0000700708008000604C</v>
      </c>
      <c r="E9">
        <v>23</v>
      </c>
      <c r="F9" t="s">
        <v>0</v>
      </c>
      <c r="G9" t="s">
        <v>69</v>
      </c>
      <c r="H9" t="s">
        <v>70</v>
      </c>
      <c r="I9">
        <v>1</v>
      </c>
      <c r="J9" t="str">
        <f t="shared" si="3"/>
        <v>40</v>
      </c>
      <c r="K9" t="str">
        <f t="shared" si="0"/>
        <v>04</v>
      </c>
      <c r="L9" t="str">
        <f t="shared" si="0"/>
        <v>07</v>
      </c>
      <c r="M9" t="str">
        <f t="shared" si="0"/>
        <v>20</v>
      </c>
      <c r="N9" t="str">
        <f t="shared" si="0"/>
        <v>00</v>
      </c>
      <c r="O9" t="str">
        <f t="shared" si="0"/>
        <v>12</v>
      </c>
      <c r="P9" t="str">
        <f t="shared" si="0"/>
        <v>74</v>
      </c>
      <c r="Q9" t="str">
        <f t="shared" si="0"/>
        <v>01</v>
      </c>
      <c r="R9" t="str">
        <f t="shared" si="0"/>
        <v>8C</v>
      </c>
      <c r="S9" t="str">
        <f t="shared" si="0"/>
        <v>00</v>
      </c>
      <c r="T9" t="str">
        <f t="shared" si="0"/>
        <v>00</v>
      </c>
      <c r="U9" t="str">
        <f t="shared" si="0"/>
        <v>70</v>
      </c>
      <c r="V9" t="str">
        <f t="shared" si="0"/>
        <v>07</v>
      </c>
      <c r="W9" t="str">
        <f t="shared" si="0"/>
        <v>08</v>
      </c>
      <c r="X9" t="str">
        <f t="shared" si="0"/>
        <v>00</v>
      </c>
      <c r="Y9" t="str">
        <f t="shared" si="0"/>
        <v>80</v>
      </c>
      <c r="Z9" t="str">
        <f t="shared" si="0"/>
        <v>00</v>
      </c>
      <c r="AA9" t="str">
        <f t="shared" si="0"/>
        <v>60</v>
      </c>
      <c r="AB9" t="str">
        <f t="shared" si="4"/>
        <v>4C</v>
      </c>
      <c r="AC9">
        <f t="shared" si="5"/>
        <v>76</v>
      </c>
      <c r="AE9" t="str">
        <f>BIN2HEX(ReverseText(HEX2BIN(J9,8)),2)</f>
        <v>02</v>
      </c>
      <c r="AF9" t="str">
        <f>BIN2HEX(ReverseText(HEX2BIN(K9,8)),2)</f>
        <v>20</v>
      </c>
      <c r="AG9" t="str">
        <f>BIN2HEX(ReverseText(HEX2BIN(L9,8)),2)</f>
        <v>E0</v>
      </c>
      <c r="AH9" t="str">
        <f>BIN2HEX(ReverseText(HEX2BIN(M9,8)),2)</f>
        <v>04</v>
      </c>
      <c r="AI9" t="str">
        <f>BIN2HEX(ReverseText(HEX2BIN(N9,8)),2)</f>
        <v>00</v>
      </c>
      <c r="AJ9" t="str">
        <f>BIN2HEX(ReverseText(HEX2BIN(O9,8)),2)</f>
        <v>48</v>
      </c>
      <c r="AK9" t="str">
        <f>BIN2HEX(ReverseText(HEX2BIN(P9,8)),2)</f>
        <v>2E</v>
      </c>
      <c r="AL9" t="str">
        <f>BIN2HEX(ReverseText(HEX2BIN(Q9,8)),2)</f>
        <v>80</v>
      </c>
      <c r="AM9" t="str">
        <f>BIN2HEX(ReverseText(HEX2BIN(R9,8)),2)</f>
        <v>31</v>
      </c>
      <c r="AN9" s="2" t="str">
        <f>BIN2HEX(ReverseText(HEX2BIN(S9,8)),2)</f>
        <v>00</v>
      </c>
      <c r="AO9" t="str">
        <f>BIN2HEX(ReverseText(HEX2BIN(T9,8)),2)</f>
        <v>00</v>
      </c>
      <c r="AP9" t="str">
        <f>BIN2HEX(ReverseText(HEX2BIN(U9,8)),2)</f>
        <v>0E</v>
      </c>
      <c r="AQ9" t="str">
        <f>BIN2HEX(ReverseText(HEX2BIN(V9,8)),2)</f>
        <v>E0</v>
      </c>
      <c r="AR9" t="str">
        <f>BIN2HEX(ReverseText(HEX2BIN(W9,8)),2)</f>
        <v>10</v>
      </c>
      <c r="AS9" t="str">
        <f>BIN2HEX(ReverseText(HEX2BIN(X9,8)),2)</f>
        <v>00</v>
      </c>
      <c r="AT9" t="str">
        <f>BIN2HEX(ReverseText(HEX2BIN(Y9,8)),2)</f>
        <v>01</v>
      </c>
      <c r="AU9" t="str">
        <f>BIN2HEX(ReverseText(HEX2BIN(Z9,8)),2)</f>
        <v>00</v>
      </c>
      <c r="AV9" t="str">
        <f>BIN2HEX(ReverseText(HEX2BIN(AA9,8)),2)</f>
        <v>06</v>
      </c>
      <c r="AW9" t="str">
        <f>BIN2HEX(ReverseText(HEX2BIN(AB9,8)),2)</f>
        <v>32</v>
      </c>
      <c r="AX9">
        <f t="shared" si="6"/>
        <v>50</v>
      </c>
      <c r="AY9" s="3" t="str">
        <f t="shared" si="7"/>
        <v>00000010</v>
      </c>
      <c r="AZ9" s="3" t="str">
        <f t="shared" si="8"/>
        <v>00100000</v>
      </c>
      <c r="BA9" s="3" t="str">
        <f t="shared" si="9"/>
        <v>11100000</v>
      </c>
      <c r="BB9" s="3" t="str">
        <f t="shared" si="10"/>
        <v>00000100</v>
      </c>
      <c r="BC9" s="3" t="str">
        <f t="shared" si="11"/>
        <v>00000000</v>
      </c>
      <c r="BD9" s="3" t="str">
        <f t="shared" si="12"/>
        <v>01001000</v>
      </c>
      <c r="BE9" s="3" t="str">
        <f t="shared" si="13"/>
        <v>00101110</v>
      </c>
      <c r="BF9" s="3" t="str">
        <f t="shared" si="14"/>
        <v>10000000</v>
      </c>
      <c r="BG9" s="3"/>
      <c r="BH9" s="3" t="str">
        <f t="shared" si="15"/>
        <v>00110001</v>
      </c>
      <c r="BI9" s="6" t="str">
        <f t="shared" si="16"/>
        <v>00000000</v>
      </c>
      <c r="BJ9" s="3"/>
      <c r="BK9" s="3" t="str">
        <f t="shared" si="17"/>
        <v>00000000</v>
      </c>
      <c r="BL9" s="3"/>
      <c r="BM9" s="3" t="str">
        <f t="shared" si="18"/>
        <v>00001110</v>
      </c>
      <c r="BN9" s="3"/>
      <c r="BO9" s="3" t="str">
        <f t="shared" si="19"/>
        <v>11100000</v>
      </c>
      <c r="BP9" s="3"/>
      <c r="BQ9" s="3" t="str">
        <f t="shared" si="20"/>
        <v>00010000</v>
      </c>
      <c r="BR9" s="3"/>
      <c r="BS9" s="3" t="str">
        <f t="shared" si="21"/>
        <v>00000000</v>
      </c>
      <c r="BT9" s="3" t="str">
        <f t="shared" si="22"/>
        <v>00000001</v>
      </c>
      <c r="BU9" s="3" t="str">
        <f t="shared" si="23"/>
        <v>00000000</v>
      </c>
      <c r="BV9" s="3" t="str">
        <f t="shared" si="24"/>
        <v>00000110</v>
      </c>
    </row>
    <row r="10" spans="1:74" x14ac:dyDescent="0.25">
      <c r="A10" t="s">
        <v>72</v>
      </c>
      <c r="B10" t="str">
        <f t="shared" si="2"/>
        <v>4004072000000060</v>
      </c>
      <c r="C10" t="str">
        <f>RIGHT(A10,(27*2)-16)</f>
        <v>4004072000120C018C0000700708008000602C</v>
      </c>
      <c r="E10">
        <v>24</v>
      </c>
      <c r="F10" t="s">
        <v>0</v>
      </c>
      <c r="G10" t="s">
        <v>69</v>
      </c>
      <c r="H10" t="s">
        <v>70</v>
      </c>
      <c r="I10">
        <v>1</v>
      </c>
      <c r="J10" t="str">
        <f t="shared" si="3"/>
        <v>40</v>
      </c>
      <c r="K10" t="str">
        <f t="shared" si="0"/>
        <v>04</v>
      </c>
      <c r="L10" t="str">
        <f t="shared" si="0"/>
        <v>07</v>
      </c>
      <c r="M10" t="str">
        <f t="shared" si="0"/>
        <v>20</v>
      </c>
      <c r="N10" t="str">
        <f t="shared" si="0"/>
        <v>00</v>
      </c>
      <c r="O10" t="str">
        <f t="shared" si="0"/>
        <v>12</v>
      </c>
      <c r="P10" t="str">
        <f t="shared" si="0"/>
        <v>0C</v>
      </c>
      <c r="Q10" t="str">
        <f t="shared" si="0"/>
        <v>01</v>
      </c>
      <c r="R10" t="str">
        <f t="shared" si="0"/>
        <v>8C</v>
      </c>
      <c r="S10" t="str">
        <f t="shared" si="0"/>
        <v>00</v>
      </c>
      <c r="T10" t="str">
        <f t="shared" si="0"/>
        <v>00</v>
      </c>
      <c r="U10" t="str">
        <f t="shared" si="0"/>
        <v>70</v>
      </c>
      <c r="V10" t="str">
        <f t="shared" si="0"/>
        <v>07</v>
      </c>
      <c r="W10" t="str">
        <f t="shared" si="0"/>
        <v>08</v>
      </c>
      <c r="X10" t="str">
        <f t="shared" si="0"/>
        <v>00</v>
      </c>
      <c r="Y10" t="str">
        <f t="shared" si="0"/>
        <v>80</v>
      </c>
      <c r="Z10" t="str">
        <f>RIGHT(LEFT($C10,2*Z$6),2)</f>
        <v>00</v>
      </c>
      <c r="AA10" t="str">
        <f t="shared" si="0"/>
        <v>60</v>
      </c>
      <c r="AB10" t="str">
        <f t="shared" si="4"/>
        <v>2C</v>
      </c>
      <c r="AC10">
        <f t="shared" si="5"/>
        <v>44</v>
      </c>
      <c r="AE10" t="str">
        <f>BIN2HEX(ReverseText(HEX2BIN(J10,8)),2)</f>
        <v>02</v>
      </c>
      <c r="AF10" t="str">
        <f>BIN2HEX(ReverseText(HEX2BIN(K10,8)),2)</f>
        <v>20</v>
      </c>
      <c r="AG10" t="str">
        <f>BIN2HEX(ReverseText(HEX2BIN(L10,8)),2)</f>
        <v>E0</v>
      </c>
      <c r="AH10" t="str">
        <f>BIN2HEX(ReverseText(HEX2BIN(M10,8)),2)</f>
        <v>04</v>
      </c>
      <c r="AI10" t="str">
        <f>BIN2HEX(ReverseText(HEX2BIN(N10,8)),2)</f>
        <v>00</v>
      </c>
      <c r="AJ10" t="str">
        <f>BIN2HEX(ReverseText(HEX2BIN(O10,8)),2)</f>
        <v>48</v>
      </c>
      <c r="AK10" t="str">
        <f>BIN2HEX(ReverseText(HEX2BIN(P10,8)),2)</f>
        <v>30</v>
      </c>
      <c r="AL10" t="str">
        <f>BIN2HEX(ReverseText(HEX2BIN(Q10,8)),2)</f>
        <v>80</v>
      </c>
      <c r="AM10" t="str">
        <f>BIN2HEX(ReverseText(HEX2BIN(R10,8)),2)</f>
        <v>31</v>
      </c>
      <c r="AN10" s="2" t="str">
        <f>BIN2HEX(ReverseText(HEX2BIN(S10,8)),2)</f>
        <v>00</v>
      </c>
      <c r="AO10" t="str">
        <f>BIN2HEX(ReverseText(HEX2BIN(T10,8)),2)</f>
        <v>00</v>
      </c>
      <c r="AP10" t="str">
        <f>BIN2HEX(ReverseText(HEX2BIN(U10,8)),2)</f>
        <v>0E</v>
      </c>
      <c r="AQ10" t="str">
        <f>BIN2HEX(ReverseText(HEX2BIN(V10,8)),2)</f>
        <v>E0</v>
      </c>
      <c r="AR10" t="str">
        <f>BIN2HEX(ReverseText(HEX2BIN(W10,8)),2)</f>
        <v>10</v>
      </c>
      <c r="AS10" t="str">
        <f>BIN2HEX(ReverseText(HEX2BIN(X10,8)),2)</f>
        <v>00</v>
      </c>
      <c r="AT10" t="str">
        <f>BIN2HEX(ReverseText(HEX2BIN(Y10,8)),2)</f>
        <v>01</v>
      </c>
      <c r="AU10" t="str">
        <f>BIN2HEX(ReverseText(HEX2BIN(Z10,8)),2)</f>
        <v>00</v>
      </c>
      <c r="AV10" t="str">
        <f>BIN2HEX(ReverseText(HEX2BIN(AA10,8)),2)</f>
        <v>06</v>
      </c>
      <c r="AW10" t="str">
        <f>BIN2HEX(ReverseText(HEX2BIN(AB10,8)),2)</f>
        <v>34</v>
      </c>
      <c r="AX10">
        <f t="shared" si="6"/>
        <v>52</v>
      </c>
      <c r="AY10" s="3" t="str">
        <f t="shared" si="7"/>
        <v>00000010</v>
      </c>
      <c r="AZ10" s="3" t="str">
        <f t="shared" si="8"/>
        <v>00100000</v>
      </c>
      <c r="BA10" s="3" t="str">
        <f t="shared" si="9"/>
        <v>11100000</v>
      </c>
      <c r="BB10" s="3" t="str">
        <f t="shared" si="10"/>
        <v>00000100</v>
      </c>
      <c r="BC10" s="3" t="str">
        <f t="shared" si="11"/>
        <v>00000000</v>
      </c>
      <c r="BD10" s="3" t="str">
        <f t="shared" si="12"/>
        <v>01001000</v>
      </c>
      <c r="BE10" s="3" t="str">
        <f t="shared" si="13"/>
        <v>00110000</v>
      </c>
      <c r="BF10" s="3" t="str">
        <f t="shared" si="14"/>
        <v>10000000</v>
      </c>
      <c r="BG10" s="3"/>
      <c r="BH10" s="3" t="str">
        <f t="shared" si="15"/>
        <v>00110001</v>
      </c>
      <c r="BI10" s="6" t="str">
        <f t="shared" si="16"/>
        <v>00000000</v>
      </c>
      <c r="BJ10" s="3"/>
      <c r="BK10" s="3" t="str">
        <f t="shared" si="17"/>
        <v>00000000</v>
      </c>
      <c r="BL10" s="3"/>
      <c r="BM10" s="3" t="str">
        <f t="shared" si="18"/>
        <v>00001110</v>
      </c>
      <c r="BN10" s="3"/>
      <c r="BO10" s="3" t="str">
        <f t="shared" si="19"/>
        <v>11100000</v>
      </c>
      <c r="BP10" s="3"/>
      <c r="BQ10" s="3" t="str">
        <f t="shared" si="20"/>
        <v>00010000</v>
      </c>
      <c r="BR10" s="3"/>
      <c r="BS10" s="3" t="str">
        <f t="shared" si="21"/>
        <v>00000000</v>
      </c>
      <c r="BT10" s="3" t="str">
        <f t="shared" si="22"/>
        <v>00000001</v>
      </c>
      <c r="BU10" s="3" t="str">
        <f t="shared" si="23"/>
        <v>00000000</v>
      </c>
      <c r="BV10" s="3" t="str">
        <f t="shared" si="24"/>
        <v>00000110</v>
      </c>
    </row>
    <row r="11" spans="1:74" x14ac:dyDescent="0.25">
      <c r="A11" t="s">
        <v>71</v>
      </c>
      <c r="B11" t="str">
        <f t="shared" si="2"/>
        <v>4004072000000060</v>
      </c>
      <c r="C11" t="str">
        <f>RIGHT(A11,(27*2)-16)</f>
        <v>40040720001274018C0000700708008000604C</v>
      </c>
      <c r="E11">
        <v>23</v>
      </c>
      <c r="F11" t="s">
        <v>0</v>
      </c>
      <c r="G11" t="s">
        <v>69</v>
      </c>
      <c r="H11" t="s">
        <v>70</v>
      </c>
      <c r="I11">
        <v>1</v>
      </c>
      <c r="J11" t="str">
        <f t="shared" si="3"/>
        <v>40</v>
      </c>
      <c r="K11" t="str">
        <f t="shared" si="0"/>
        <v>04</v>
      </c>
      <c r="L11" t="str">
        <f t="shared" si="0"/>
        <v>07</v>
      </c>
      <c r="M11" t="str">
        <f t="shared" si="0"/>
        <v>20</v>
      </c>
      <c r="N11" t="str">
        <f t="shared" si="0"/>
        <v>00</v>
      </c>
      <c r="O11" t="str">
        <f t="shared" si="0"/>
        <v>12</v>
      </c>
      <c r="P11" t="str">
        <f t="shared" si="0"/>
        <v>74</v>
      </c>
      <c r="Q11" t="str">
        <f t="shared" si="0"/>
        <v>01</v>
      </c>
      <c r="R11" t="str">
        <f t="shared" si="0"/>
        <v>8C</v>
      </c>
      <c r="S11" t="str">
        <f t="shared" si="0"/>
        <v>00</v>
      </c>
      <c r="T11" t="str">
        <f t="shared" si="0"/>
        <v>00</v>
      </c>
      <c r="U11" t="str">
        <f t="shared" si="0"/>
        <v>70</v>
      </c>
      <c r="V11" t="str">
        <f t="shared" si="0"/>
        <v>07</v>
      </c>
      <c r="W11" t="str">
        <f t="shared" si="0"/>
        <v>08</v>
      </c>
      <c r="X11" t="str">
        <f t="shared" si="0"/>
        <v>00</v>
      </c>
      <c r="Y11" t="str">
        <f t="shared" si="0"/>
        <v>80</v>
      </c>
      <c r="Z11" t="str">
        <f t="shared" si="0"/>
        <v>00</v>
      </c>
      <c r="AA11" t="str">
        <f t="shared" si="0"/>
        <v>60</v>
      </c>
      <c r="AB11" t="str">
        <f t="shared" si="4"/>
        <v>4C</v>
      </c>
      <c r="AC11">
        <f t="shared" si="5"/>
        <v>76</v>
      </c>
      <c r="AE11" t="str">
        <f>BIN2HEX(ReverseText(HEX2BIN(J11,8)),2)</f>
        <v>02</v>
      </c>
      <c r="AF11" t="str">
        <f>BIN2HEX(ReverseText(HEX2BIN(K11,8)),2)</f>
        <v>20</v>
      </c>
      <c r="AG11" t="str">
        <f>BIN2HEX(ReverseText(HEX2BIN(L11,8)),2)</f>
        <v>E0</v>
      </c>
      <c r="AH11" t="str">
        <f>BIN2HEX(ReverseText(HEX2BIN(M11,8)),2)</f>
        <v>04</v>
      </c>
      <c r="AI11" t="str">
        <f>BIN2HEX(ReverseText(HEX2BIN(N11,8)),2)</f>
        <v>00</v>
      </c>
      <c r="AJ11" t="str">
        <f>BIN2HEX(ReverseText(HEX2BIN(O11,8)),2)</f>
        <v>48</v>
      </c>
      <c r="AK11" t="str">
        <f>BIN2HEX(ReverseText(HEX2BIN(P11,8)),2)</f>
        <v>2E</v>
      </c>
      <c r="AL11" t="str">
        <f>BIN2HEX(ReverseText(HEX2BIN(Q11,8)),2)</f>
        <v>80</v>
      </c>
      <c r="AM11" t="str">
        <f>BIN2HEX(ReverseText(HEX2BIN(R11,8)),2)</f>
        <v>31</v>
      </c>
      <c r="AN11" s="2" t="str">
        <f>BIN2HEX(ReverseText(HEX2BIN(S11,8)),2)</f>
        <v>00</v>
      </c>
      <c r="AO11" t="str">
        <f>BIN2HEX(ReverseText(HEX2BIN(T11,8)),2)</f>
        <v>00</v>
      </c>
      <c r="AP11" t="str">
        <f>BIN2HEX(ReverseText(HEX2BIN(U11,8)),2)</f>
        <v>0E</v>
      </c>
      <c r="AQ11" t="str">
        <f>BIN2HEX(ReverseText(HEX2BIN(V11,8)),2)</f>
        <v>E0</v>
      </c>
      <c r="AR11" t="str">
        <f>BIN2HEX(ReverseText(HEX2BIN(W11,8)),2)</f>
        <v>10</v>
      </c>
      <c r="AS11" t="str">
        <f>BIN2HEX(ReverseText(HEX2BIN(X11,8)),2)</f>
        <v>00</v>
      </c>
      <c r="AT11" t="str">
        <f>BIN2HEX(ReverseText(HEX2BIN(Y11,8)),2)</f>
        <v>01</v>
      </c>
      <c r="AU11" t="str">
        <f>BIN2HEX(ReverseText(HEX2BIN(Z11,8)),2)</f>
        <v>00</v>
      </c>
      <c r="AV11" t="str">
        <f>BIN2HEX(ReverseText(HEX2BIN(AA11,8)),2)</f>
        <v>06</v>
      </c>
      <c r="AW11" t="str">
        <f>BIN2HEX(ReverseText(HEX2BIN(AB11,8)),2)</f>
        <v>32</v>
      </c>
      <c r="AX11">
        <f t="shared" si="6"/>
        <v>50</v>
      </c>
      <c r="AY11" s="3" t="str">
        <f t="shared" si="7"/>
        <v>00000010</v>
      </c>
      <c r="AZ11" s="3" t="str">
        <f t="shared" si="8"/>
        <v>00100000</v>
      </c>
      <c r="BA11" s="3" t="str">
        <f t="shared" si="9"/>
        <v>11100000</v>
      </c>
      <c r="BB11" s="3" t="str">
        <f t="shared" si="10"/>
        <v>00000100</v>
      </c>
      <c r="BC11" s="3" t="str">
        <f t="shared" si="11"/>
        <v>00000000</v>
      </c>
      <c r="BD11" s="3" t="str">
        <f t="shared" si="12"/>
        <v>01001000</v>
      </c>
      <c r="BE11" s="3" t="str">
        <f t="shared" si="13"/>
        <v>00101110</v>
      </c>
      <c r="BF11" s="3" t="str">
        <f t="shared" si="14"/>
        <v>10000000</v>
      </c>
      <c r="BG11" s="3"/>
      <c r="BH11" s="3" t="str">
        <f t="shared" si="15"/>
        <v>00110001</v>
      </c>
      <c r="BI11" s="6" t="str">
        <f t="shared" si="16"/>
        <v>00000000</v>
      </c>
      <c r="BJ11" s="3"/>
      <c r="BK11" s="3" t="str">
        <f t="shared" si="17"/>
        <v>00000000</v>
      </c>
      <c r="BL11" s="3"/>
      <c r="BM11" s="3" t="str">
        <f t="shared" si="18"/>
        <v>00001110</v>
      </c>
      <c r="BN11" s="3"/>
      <c r="BO11" s="3" t="str">
        <f t="shared" si="19"/>
        <v>11100000</v>
      </c>
      <c r="BP11" s="3"/>
      <c r="BQ11" s="3" t="str">
        <f t="shared" si="20"/>
        <v>00010000</v>
      </c>
      <c r="BR11" s="3"/>
      <c r="BS11" s="3" t="str">
        <f t="shared" si="21"/>
        <v>00000000</v>
      </c>
      <c r="BT11" s="3" t="str">
        <f t="shared" si="22"/>
        <v>00000001</v>
      </c>
      <c r="BU11" s="3" t="str">
        <f t="shared" si="23"/>
        <v>00000000</v>
      </c>
      <c r="BV11" s="3" t="str">
        <f t="shared" si="24"/>
        <v>00000110</v>
      </c>
    </row>
    <row r="12" spans="1:74" x14ac:dyDescent="0.25">
      <c r="A12" t="s">
        <v>71</v>
      </c>
      <c r="B12" t="str">
        <f t="shared" si="2"/>
        <v>4004072000000060</v>
      </c>
      <c r="C12" t="str">
        <f t="shared" ref="C12:C14" si="25">RIGHT(A12,(27*2)-16)</f>
        <v>40040720001274018C0000700708008000604C</v>
      </c>
      <c r="E12">
        <v>22</v>
      </c>
      <c r="F12" t="s">
        <v>0</v>
      </c>
      <c r="G12" t="s">
        <v>69</v>
      </c>
      <c r="H12" t="s">
        <v>70</v>
      </c>
      <c r="I12">
        <v>2</v>
      </c>
      <c r="J12" t="str">
        <f t="shared" si="3"/>
        <v>40</v>
      </c>
      <c r="K12" t="str">
        <f t="shared" si="0"/>
        <v>04</v>
      </c>
      <c r="L12" t="str">
        <f t="shared" si="0"/>
        <v>07</v>
      </c>
      <c r="M12" t="str">
        <f t="shared" si="0"/>
        <v>20</v>
      </c>
      <c r="N12" t="str">
        <f t="shared" si="0"/>
        <v>00</v>
      </c>
      <c r="O12" t="str">
        <f t="shared" si="0"/>
        <v>12</v>
      </c>
      <c r="P12" t="str">
        <f t="shared" si="0"/>
        <v>74</v>
      </c>
      <c r="Q12" t="str">
        <f t="shared" si="0"/>
        <v>01</v>
      </c>
      <c r="R12" t="str">
        <f t="shared" si="0"/>
        <v>8C</v>
      </c>
      <c r="S12" t="str">
        <f t="shared" si="0"/>
        <v>00</v>
      </c>
      <c r="T12" t="str">
        <f t="shared" si="0"/>
        <v>00</v>
      </c>
      <c r="U12" t="str">
        <f t="shared" si="0"/>
        <v>70</v>
      </c>
      <c r="V12" t="str">
        <f t="shared" si="0"/>
        <v>07</v>
      </c>
      <c r="W12" t="str">
        <f t="shared" si="0"/>
        <v>08</v>
      </c>
      <c r="X12" t="str">
        <f t="shared" si="0"/>
        <v>00</v>
      </c>
      <c r="Y12" t="str">
        <f t="shared" si="0"/>
        <v>80</v>
      </c>
      <c r="Z12" t="str">
        <f t="shared" si="0"/>
        <v>00</v>
      </c>
      <c r="AA12" t="str">
        <f t="shared" si="0"/>
        <v>60</v>
      </c>
      <c r="AB12" t="str">
        <f t="shared" si="4"/>
        <v>4C</v>
      </c>
      <c r="AC12">
        <f t="shared" si="5"/>
        <v>76</v>
      </c>
      <c r="AE12" t="str">
        <f t="shared" ref="AE12:AE14" si="26">BIN2HEX(ReverseText(HEX2BIN(J12,8)),2)</f>
        <v>02</v>
      </c>
      <c r="AF12" t="str">
        <f t="shared" ref="AF12:AF14" si="27">BIN2HEX(ReverseText(HEX2BIN(K12,8)),2)</f>
        <v>20</v>
      </c>
      <c r="AG12" t="str">
        <f t="shared" ref="AG12:AG14" si="28">BIN2HEX(ReverseText(HEX2BIN(L12,8)),2)</f>
        <v>E0</v>
      </c>
      <c r="AH12" t="str">
        <f t="shared" ref="AH12:AH14" si="29">BIN2HEX(ReverseText(HEX2BIN(M12,8)),2)</f>
        <v>04</v>
      </c>
      <c r="AI12" t="str">
        <f t="shared" ref="AI12:AI14" si="30">BIN2HEX(ReverseText(HEX2BIN(N12,8)),2)</f>
        <v>00</v>
      </c>
      <c r="AJ12" t="str">
        <f t="shared" ref="AJ12:AJ14" si="31">BIN2HEX(ReverseText(HEX2BIN(O12,8)),2)</f>
        <v>48</v>
      </c>
      <c r="AK12" t="str">
        <f t="shared" ref="AK12:AK14" si="32">BIN2HEX(ReverseText(HEX2BIN(P12,8)),2)</f>
        <v>2E</v>
      </c>
      <c r="AL12" t="str">
        <f t="shared" ref="AL12:AL14" si="33">BIN2HEX(ReverseText(HEX2BIN(Q12,8)),2)</f>
        <v>80</v>
      </c>
      <c r="AM12" t="str">
        <f t="shared" ref="AM12:AM14" si="34">BIN2HEX(ReverseText(HEX2BIN(R12,8)),2)</f>
        <v>31</v>
      </c>
      <c r="AN12" s="2" t="str">
        <f t="shared" ref="AN12:AN14" si="35">BIN2HEX(ReverseText(HEX2BIN(S12,8)),2)</f>
        <v>00</v>
      </c>
      <c r="AO12" t="str">
        <f t="shared" ref="AO12:AO14" si="36">BIN2HEX(ReverseText(HEX2BIN(T12,8)),2)</f>
        <v>00</v>
      </c>
      <c r="AP12" t="str">
        <f t="shared" ref="AP12:AP14" si="37">BIN2HEX(ReverseText(HEX2BIN(U12,8)),2)</f>
        <v>0E</v>
      </c>
      <c r="AQ12" t="str">
        <f t="shared" ref="AQ12:AQ14" si="38">BIN2HEX(ReverseText(HEX2BIN(V12,8)),2)</f>
        <v>E0</v>
      </c>
      <c r="AR12" t="str">
        <f t="shared" ref="AR12:AR14" si="39">BIN2HEX(ReverseText(HEX2BIN(W12,8)),2)</f>
        <v>10</v>
      </c>
      <c r="AS12" t="str">
        <f t="shared" ref="AS12:AS14" si="40">BIN2HEX(ReverseText(HEX2BIN(X12,8)),2)</f>
        <v>00</v>
      </c>
      <c r="AT12" t="str">
        <f t="shared" ref="AT12:AT14" si="41">BIN2HEX(ReverseText(HEX2BIN(Y12,8)),2)</f>
        <v>01</v>
      </c>
      <c r="AU12" t="str">
        <f t="shared" ref="AU12:AU14" si="42">BIN2HEX(ReverseText(HEX2BIN(Z12,8)),2)</f>
        <v>00</v>
      </c>
      <c r="AV12" t="str">
        <f t="shared" ref="AV12:AV14" si="43">BIN2HEX(ReverseText(HEX2BIN(AA12,8)),2)</f>
        <v>06</v>
      </c>
      <c r="AW12" t="str">
        <f t="shared" ref="AW12:AW14" si="44">BIN2HEX(ReverseText(HEX2BIN(AB12,8)),2)</f>
        <v>32</v>
      </c>
      <c r="AX12">
        <f t="shared" si="6"/>
        <v>50</v>
      </c>
      <c r="AY12" s="3" t="str">
        <f t="shared" ref="AY12:AY14" si="45">HEX2BIN(AE12,8)</f>
        <v>00000010</v>
      </c>
      <c r="AZ12" s="3" t="str">
        <f t="shared" ref="AZ12:AZ14" si="46">HEX2BIN(AF12,8)</f>
        <v>00100000</v>
      </c>
      <c r="BA12" s="3" t="str">
        <f t="shared" ref="BA12:BA14" si="47">HEX2BIN(AG12,8)</f>
        <v>11100000</v>
      </c>
      <c r="BB12" s="3" t="str">
        <f t="shared" ref="BB12:BB14" si="48">HEX2BIN(AH12,8)</f>
        <v>00000100</v>
      </c>
      <c r="BC12" s="3" t="str">
        <f t="shared" ref="BC12:BC14" si="49">HEX2BIN(AI12,8)</f>
        <v>00000000</v>
      </c>
      <c r="BD12" s="3" t="str">
        <f t="shared" ref="BD12:BD14" si="50">HEX2BIN(AJ12,8)</f>
        <v>01001000</v>
      </c>
      <c r="BE12" s="3" t="str">
        <f t="shared" ref="BE12:BE14" si="51">HEX2BIN(AK12,8)</f>
        <v>00101110</v>
      </c>
      <c r="BF12" s="3" t="str">
        <f t="shared" ref="BF12:BF14" si="52">HEX2BIN(AL12,8)</f>
        <v>10000000</v>
      </c>
      <c r="BG12" s="3"/>
      <c r="BH12" s="3" t="str">
        <f t="shared" ref="BH12:BH14" si="53">HEX2BIN(AM12,8)</f>
        <v>00110001</v>
      </c>
      <c r="BI12" s="6" t="str">
        <f t="shared" ref="BI12:BI14" si="54">HEX2BIN(AN12,8)</f>
        <v>00000000</v>
      </c>
      <c r="BJ12" s="3"/>
      <c r="BK12" s="3" t="str">
        <f t="shared" ref="BK12:BK14" si="55">HEX2BIN(AO12,8)</f>
        <v>00000000</v>
      </c>
      <c r="BL12" s="3"/>
      <c r="BM12" s="3" t="str">
        <f t="shared" ref="BM12:BM14" si="56">HEX2BIN(AP12,8)</f>
        <v>00001110</v>
      </c>
      <c r="BN12" s="3"/>
      <c r="BO12" s="3" t="str">
        <f t="shared" ref="BO12:BO14" si="57">HEX2BIN(AQ12,8)</f>
        <v>11100000</v>
      </c>
      <c r="BP12" s="3"/>
      <c r="BQ12" s="3" t="str">
        <f t="shared" ref="BQ12:BQ14" si="58">HEX2BIN(AR12,8)</f>
        <v>00010000</v>
      </c>
      <c r="BR12" s="3"/>
      <c r="BS12" s="3" t="str">
        <f t="shared" ref="BS12:BS14" si="59">HEX2BIN(AS12,8)</f>
        <v>00000000</v>
      </c>
      <c r="BT12" s="3" t="str">
        <f t="shared" ref="BT12:BT14" si="60">HEX2BIN(AT12,8)</f>
        <v>00000001</v>
      </c>
      <c r="BU12" s="3" t="str">
        <f t="shared" ref="BU12:BU14" si="61">HEX2BIN(AU12,8)</f>
        <v>00000000</v>
      </c>
      <c r="BV12" s="3" t="str">
        <f t="shared" ref="BV12:BV14" si="62">HEX2BIN(AV12,8)</f>
        <v>00000110</v>
      </c>
    </row>
    <row r="13" spans="1:74" x14ac:dyDescent="0.25">
      <c r="A13" t="s">
        <v>73</v>
      </c>
      <c r="B13" t="str">
        <f t="shared" si="2"/>
        <v>4004072000000060</v>
      </c>
      <c r="C13" t="str">
        <f t="shared" si="25"/>
        <v>40040720001234018C0000700708008000600C</v>
      </c>
      <c r="E13">
        <v>22</v>
      </c>
      <c r="F13" t="s">
        <v>0</v>
      </c>
      <c r="G13" t="s">
        <v>69</v>
      </c>
      <c r="H13" t="s">
        <v>70</v>
      </c>
      <c r="I13">
        <v>3</v>
      </c>
      <c r="J13" t="str">
        <f t="shared" si="3"/>
        <v>40</v>
      </c>
      <c r="K13" t="str">
        <f t="shared" si="0"/>
        <v>04</v>
      </c>
      <c r="L13" t="str">
        <f t="shared" si="0"/>
        <v>07</v>
      </c>
      <c r="M13" t="str">
        <f t="shared" si="0"/>
        <v>20</v>
      </c>
      <c r="N13" t="str">
        <f t="shared" si="0"/>
        <v>00</v>
      </c>
      <c r="O13" t="str">
        <f t="shared" si="0"/>
        <v>12</v>
      </c>
      <c r="P13" t="str">
        <f t="shared" si="0"/>
        <v>34</v>
      </c>
      <c r="Q13" t="str">
        <f t="shared" si="0"/>
        <v>01</v>
      </c>
      <c r="R13" t="str">
        <f t="shared" si="0"/>
        <v>8C</v>
      </c>
      <c r="S13" t="str">
        <f t="shared" si="0"/>
        <v>00</v>
      </c>
      <c r="T13" t="str">
        <f t="shared" si="0"/>
        <v>00</v>
      </c>
      <c r="U13" t="str">
        <f t="shared" si="0"/>
        <v>70</v>
      </c>
      <c r="V13" t="str">
        <f t="shared" si="0"/>
        <v>07</v>
      </c>
      <c r="W13" t="str">
        <f t="shared" si="0"/>
        <v>08</v>
      </c>
      <c r="X13" t="str">
        <f t="shared" si="0"/>
        <v>00</v>
      </c>
      <c r="Y13" t="str">
        <f t="shared" si="0"/>
        <v>80</v>
      </c>
      <c r="Z13" t="str">
        <f t="shared" si="0"/>
        <v>00</v>
      </c>
      <c r="AA13" t="str">
        <f t="shared" si="0"/>
        <v>60</v>
      </c>
      <c r="AB13" t="str">
        <f t="shared" si="4"/>
        <v>0C</v>
      </c>
      <c r="AC13">
        <f t="shared" si="5"/>
        <v>12</v>
      </c>
      <c r="AE13" t="str">
        <f t="shared" si="26"/>
        <v>02</v>
      </c>
      <c r="AF13" t="str">
        <f t="shared" si="27"/>
        <v>20</v>
      </c>
      <c r="AG13" t="str">
        <f t="shared" si="28"/>
        <v>E0</v>
      </c>
      <c r="AH13" t="str">
        <f t="shared" si="29"/>
        <v>04</v>
      </c>
      <c r="AI13" t="str">
        <f t="shared" si="30"/>
        <v>00</v>
      </c>
      <c r="AJ13" t="str">
        <f t="shared" si="31"/>
        <v>48</v>
      </c>
      <c r="AK13" t="str">
        <f t="shared" si="32"/>
        <v>2C</v>
      </c>
      <c r="AL13" t="str">
        <f t="shared" si="33"/>
        <v>80</v>
      </c>
      <c r="AM13" t="str">
        <f t="shared" si="34"/>
        <v>31</v>
      </c>
      <c r="AN13" s="2" t="str">
        <f t="shared" si="35"/>
        <v>00</v>
      </c>
      <c r="AO13" t="str">
        <f t="shared" si="36"/>
        <v>00</v>
      </c>
      <c r="AP13" t="str">
        <f t="shared" si="37"/>
        <v>0E</v>
      </c>
      <c r="AQ13" t="str">
        <f t="shared" si="38"/>
        <v>E0</v>
      </c>
      <c r="AR13" t="str">
        <f t="shared" si="39"/>
        <v>10</v>
      </c>
      <c r="AS13" t="str">
        <f t="shared" si="40"/>
        <v>00</v>
      </c>
      <c r="AT13" t="str">
        <f t="shared" si="41"/>
        <v>01</v>
      </c>
      <c r="AU13" t="str">
        <f t="shared" si="42"/>
        <v>00</v>
      </c>
      <c r="AV13" t="str">
        <f t="shared" si="43"/>
        <v>06</v>
      </c>
      <c r="AW13" t="str">
        <f t="shared" si="44"/>
        <v>30</v>
      </c>
      <c r="AX13">
        <f t="shared" si="6"/>
        <v>48</v>
      </c>
      <c r="AY13" s="3" t="str">
        <f t="shared" si="45"/>
        <v>00000010</v>
      </c>
      <c r="AZ13" s="3" t="str">
        <f t="shared" si="46"/>
        <v>00100000</v>
      </c>
      <c r="BA13" s="3" t="str">
        <f t="shared" si="47"/>
        <v>11100000</v>
      </c>
      <c r="BB13" s="3" t="str">
        <f t="shared" si="48"/>
        <v>00000100</v>
      </c>
      <c r="BC13" s="3" t="str">
        <f t="shared" si="49"/>
        <v>00000000</v>
      </c>
      <c r="BD13" s="3" t="str">
        <f t="shared" si="50"/>
        <v>01001000</v>
      </c>
      <c r="BE13" s="3" t="str">
        <f t="shared" si="51"/>
        <v>00101100</v>
      </c>
      <c r="BF13" s="3" t="str">
        <f t="shared" si="52"/>
        <v>10000000</v>
      </c>
      <c r="BG13" s="3"/>
      <c r="BH13" s="3" t="str">
        <f t="shared" si="53"/>
        <v>00110001</v>
      </c>
      <c r="BI13" s="6" t="str">
        <f t="shared" si="54"/>
        <v>00000000</v>
      </c>
      <c r="BJ13" s="3"/>
      <c r="BK13" s="3" t="str">
        <f t="shared" si="55"/>
        <v>00000000</v>
      </c>
      <c r="BL13" s="3"/>
      <c r="BM13" s="3" t="str">
        <f t="shared" si="56"/>
        <v>00001110</v>
      </c>
      <c r="BN13" s="3"/>
      <c r="BO13" s="3" t="str">
        <f t="shared" si="57"/>
        <v>11100000</v>
      </c>
      <c r="BP13" s="3"/>
      <c r="BQ13" s="3" t="str">
        <f t="shared" si="58"/>
        <v>00010000</v>
      </c>
      <c r="BR13" s="3"/>
      <c r="BS13" s="3" t="str">
        <f t="shared" si="59"/>
        <v>00000000</v>
      </c>
      <c r="BT13" s="3" t="str">
        <f t="shared" si="60"/>
        <v>00000001</v>
      </c>
      <c r="BU13" s="3" t="str">
        <f t="shared" si="61"/>
        <v>00000000</v>
      </c>
      <c r="BV13" s="3" t="str">
        <f t="shared" si="62"/>
        <v>00000110</v>
      </c>
    </row>
    <row r="14" spans="1:74" x14ac:dyDescent="0.25">
      <c r="A14" t="s">
        <v>74</v>
      </c>
      <c r="B14" t="str">
        <f t="shared" si="2"/>
        <v>4004072000000060</v>
      </c>
      <c r="C14" t="str">
        <f t="shared" si="25"/>
        <v>40040720001254018C00007007080080006074</v>
      </c>
      <c r="E14">
        <v>21</v>
      </c>
      <c r="F14" t="s">
        <v>0</v>
      </c>
      <c r="G14" t="s">
        <v>69</v>
      </c>
      <c r="H14" t="s">
        <v>70</v>
      </c>
      <c r="I14">
        <v>4</v>
      </c>
      <c r="J14" t="str">
        <f t="shared" si="3"/>
        <v>40</v>
      </c>
      <c r="K14" t="str">
        <f t="shared" si="0"/>
        <v>04</v>
      </c>
      <c r="L14" t="str">
        <f t="shared" si="0"/>
        <v>07</v>
      </c>
      <c r="M14" t="str">
        <f t="shared" si="0"/>
        <v>20</v>
      </c>
      <c r="N14" t="str">
        <f t="shared" si="0"/>
        <v>00</v>
      </c>
      <c r="O14" t="str">
        <f t="shared" si="0"/>
        <v>12</v>
      </c>
      <c r="P14" t="str">
        <f t="shared" si="0"/>
        <v>54</v>
      </c>
      <c r="Q14" t="str">
        <f t="shared" si="0"/>
        <v>01</v>
      </c>
      <c r="R14" t="str">
        <f t="shared" si="0"/>
        <v>8C</v>
      </c>
      <c r="S14" t="str">
        <f t="shared" si="0"/>
        <v>00</v>
      </c>
      <c r="T14" t="str">
        <f t="shared" si="0"/>
        <v>00</v>
      </c>
      <c r="U14" t="str">
        <f t="shared" si="0"/>
        <v>70</v>
      </c>
      <c r="V14" t="str">
        <f t="shared" si="0"/>
        <v>07</v>
      </c>
      <c r="W14" t="str">
        <f t="shared" si="0"/>
        <v>08</v>
      </c>
      <c r="X14" t="str">
        <f t="shared" si="0"/>
        <v>00</v>
      </c>
      <c r="Y14" t="str">
        <f t="shared" si="0"/>
        <v>80</v>
      </c>
      <c r="Z14" t="str">
        <f t="shared" si="0"/>
        <v>00</v>
      </c>
      <c r="AA14" t="str">
        <f t="shared" si="0"/>
        <v>60</v>
      </c>
      <c r="AB14" t="str">
        <f t="shared" si="4"/>
        <v>74</v>
      </c>
      <c r="AC14">
        <f t="shared" si="5"/>
        <v>116</v>
      </c>
      <c r="AE14" t="str">
        <f t="shared" si="26"/>
        <v>02</v>
      </c>
      <c r="AF14" t="str">
        <f t="shared" si="27"/>
        <v>20</v>
      </c>
      <c r="AG14" t="str">
        <f t="shared" si="28"/>
        <v>E0</v>
      </c>
      <c r="AH14" t="str">
        <f t="shared" si="29"/>
        <v>04</v>
      </c>
      <c r="AI14" t="str">
        <f t="shared" si="30"/>
        <v>00</v>
      </c>
      <c r="AJ14" t="str">
        <f t="shared" si="31"/>
        <v>48</v>
      </c>
      <c r="AK14" t="str">
        <f t="shared" si="32"/>
        <v>2A</v>
      </c>
      <c r="AL14" t="str">
        <f t="shared" si="33"/>
        <v>80</v>
      </c>
      <c r="AM14" t="str">
        <f t="shared" si="34"/>
        <v>31</v>
      </c>
      <c r="AN14" s="2" t="str">
        <f t="shared" si="35"/>
        <v>00</v>
      </c>
      <c r="AO14" t="str">
        <f t="shared" si="36"/>
        <v>00</v>
      </c>
      <c r="AP14" t="str">
        <f t="shared" si="37"/>
        <v>0E</v>
      </c>
      <c r="AQ14" t="str">
        <f t="shared" si="38"/>
        <v>E0</v>
      </c>
      <c r="AR14" t="str">
        <f t="shared" si="39"/>
        <v>10</v>
      </c>
      <c r="AS14" t="str">
        <f t="shared" si="40"/>
        <v>00</v>
      </c>
      <c r="AT14" t="str">
        <f t="shared" si="41"/>
        <v>01</v>
      </c>
      <c r="AU14" t="str">
        <f t="shared" si="42"/>
        <v>00</v>
      </c>
      <c r="AV14" t="str">
        <f t="shared" si="43"/>
        <v>06</v>
      </c>
      <c r="AW14" t="str">
        <f t="shared" si="44"/>
        <v>2E</v>
      </c>
      <c r="AX14">
        <f t="shared" si="6"/>
        <v>46</v>
      </c>
      <c r="AY14" s="3" t="str">
        <f t="shared" si="45"/>
        <v>00000010</v>
      </c>
      <c r="AZ14" s="3" t="str">
        <f t="shared" si="46"/>
        <v>00100000</v>
      </c>
      <c r="BA14" s="3" t="str">
        <f t="shared" si="47"/>
        <v>11100000</v>
      </c>
      <c r="BB14" s="3" t="str">
        <f t="shared" si="48"/>
        <v>00000100</v>
      </c>
      <c r="BC14" s="3" t="str">
        <f t="shared" si="49"/>
        <v>00000000</v>
      </c>
      <c r="BD14" s="3" t="str">
        <f t="shared" si="50"/>
        <v>01001000</v>
      </c>
      <c r="BE14" s="3" t="str">
        <f t="shared" si="51"/>
        <v>00101010</v>
      </c>
      <c r="BF14" s="3" t="str">
        <f t="shared" si="52"/>
        <v>10000000</v>
      </c>
      <c r="BG14" s="3"/>
      <c r="BH14" s="3" t="str">
        <f t="shared" si="53"/>
        <v>00110001</v>
      </c>
      <c r="BI14" s="6" t="str">
        <f t="shared" si="54"/>
        <v>00000000</v>
      </c>
      <c r="BJ14" s="3"/>
      <c r="BK14" s="3" t="str">
        <f t="shared" si="55"/>
        <v>00000000</v>
      </c>
      <c r="BL14" s="3"/>
      <c r="BM14" s="3" t="str">
        <f t="shared" si="56"/>
        <v>00001110</v>
      </c>
      <c r="BN14" s="3"/>
      <c r="BO14" s="3" t="str">
        <f t="shared" si="57"/>
        <v>11100000</v>
      </c>
      <c r="BP14" s="3"/>
      <c r="BQ14" s="3" t="str">
        <f t="shared" si="58"/>
        <v>00010000</v>
      </c>
      <c r="BR14" s="3"/>
      <c r="BS14" s="3" t="str">
        <f t="shared" si="59"/>
        <v>00000000</v>
      </c>
      <c r="BT14" s="3" t="str">
        <f t="shared" si="60"/>
        <v>00000001</v>
      </c>
      <c r="BU14" s="3" t="str">
        <f t="shared" si="61"/>
        <v>00000000</v>
      </c>
      <c r="BV14" s="3" t="str">
        <f t="shared" si="62"/>
        <v>00000110</v>
      </c>
    </row>
    <row r="15" spans="1:74" x14ac:dyDescent="0.25">
      <c r="A15" t="s">
        <v>75</v>
      </c>
      <c r="B15" t="str">
        <f t="shared" si="2"/>
        <v>4004072000000060</v>
      </c>
      <c r="C15" t="str">
        <f t="shared" ref="C15" si="63">RIGHT(A15,(27*2)-16)</f>
        <v>40040720009254018C000070070800800060F4</v>
      </c>
      <c r="E15">
        <v>21</v>
      </c>
      <c r="F15" t="s">
        <v>20</v>
      </c>
      <c r="G15" t="s">
        <v>69</v>
      </c>
      <c r="H15" t="s">
        <v>70</v>
      </c>
      <c r="I15">
        <v>4</v>
      </c>
      <c r="J15" t="str">
        <f t="shared" si="3"/>
        <v>40</v>
      </c>
      <c r="K15" t="str">
        <f t="shared" si="0"/>
        <v>04</v>
      </c>
      <c r="L15" t="str">
        <f t="shared" si="0"/>
        <v>07</v>
      </c>
      <c r="M15" t="str">
        <f t="shared" si="0"/>
        <v>20</v>
      </c>
      <c r="N15" t="str">
        <f t="shared" si="0"/>
        <v>00</v>
      </c>
      <c r="O15" t="str">
        <f t="shared" si="0"/>
        <v>92</v>
      </c>
      <c r="P15" t="str">
        <f t="shared" si="0"/>
        <v>54</v>
      </c>
      <c r="Q15" t="str">
        <f t="shared" si="0"/>
        <v>01</v>
      </c>
      <c r="R15" t="str">
        <f t="shared" si="0"/>
        <v>8C</v>
      </c>
      <c r="S15" t="str">
        <f t="shared" si="0"/>
        <v>00</v>
      </c>
      <c r="T15" t="str">
        <f t="shared" si="0"/>
        <v>00</v>
      </c>
      <c r="U15" t="str">
        <f t="shared" si="0"/>
        <v>70</v>
      </c>
      <c r="V15" t="str">
        <f t="shared" si="0"/>
        <v>07</v>
      </c>
      <c r="W15" t="str">
        <f t="shared" si="0"/>
        <v>08</v>
      </c>
      <c r="X15" t="str">
        <f t="shared" si="0"/>
        <v>00</v>
      </c>
      <c r="Y15" t="str">
        <f t="shared" si="0"/>
        <v>80</v>
      </c>
      <c r="Z15" t="str">
        <f t="shared" si="0"/>
        <v>00</v>
      </c>
      <c r="AA15" t="str">
        <f t="shared" si="0"/>
        <v>60</v>
      </c>
      <c r="AB15" t="str">
        <f t="shared" si="4"/>
        <v>F4</v>
      </c>
      <c r="AC15">
        <f t="shared" si="5"/>
        <v>244</v>
      </c>
      <c r="AE15" t="str">
        <f t="shared" ref="AE15" si="64">BIN2HEX(ReverseText(HEX2BIN(J15,8)),2)</f>
        <v>02</v>
      </c>
      <c r="AF15" t="str">
        <f t="shared" ref="AF15" si="65">BIN2HEX(ReverseText(HEX2BIN(K15,8)),2)</f>
        <v>20</v>
      </c>
      <c r="AG15" t="str">
        <f t="shared" ref="AG15" si="66">BIN2HEX(ReverseText(HEX2BIN(L15,8)),2)</f>
        <v>E0</v>
      </c>
      <c r="AH15" t="str">
        <f t="shared" ref="AH15" si="67">BIN2HEX(ReverseText(HEX2BIN(M15,8)),2)</f>
        <v>04</v>
      </c>
      <c r="AI15" t="str">
        <f t="shared" ref="AI15" si="68">BIN2HEX(ReverseText(HEX2BIN(N15,8)),2)</f>
        <v>00</v>
      </c>
      <c r="AJ15" t="str">
        <f t="shared" ref="AJ15" si="69">BIN2HEX(ReverseText(HEX2BIN(O15,8)),2)</f>
        <v>49</v>
      </c>
      <c r="AK15" t="str">
        <f t="shared" ref="AK15" si="70">BIN2HEX(ReverseText(HEX2BIN(P15,8)),2)</f>
        <v>2A</v>
      </c>
      <c r="AL15" t="str">
        <f t="shared" ref="AL15" si="71">BIN2HEX(ReverseText(HEX2BIN(Q15,8)),2)</f>
        <v>80</v>
      </c>
      <c r="AM15" t="str">
        <f t="shared" ref="AM15" si="72">BIN2HEX(ReverseText(HEX2BIN(R15,8)),2)</f>
        <v>31</v>
      </c>
      <c r="AN15" s="2" t="str">
        <f t="shared" ref="AN15" si="73">BIN2HEX(ReverseText(HEX2BIN(S15,8)),2)</f>
        <v>00</v>
      </c>
      <c r="AO15" t="str">
        <f t="shared" ref="AO15" si="74">BIN2HEX(ReverseText(HEX2BIN(T15,8)),2)</f>
        <v>00</v>
      </c>
      <c r="AP15" t="str">
        <f t="shared" ref="AP15" si="75">BIN2HEX(ReverseText(HEX2BIN(U15,8)),2)</f>
        <v>0E</v>
      </c>
      <c r="AQ15" t="str">
        <f t="shared" ref="AQ15" si="76">BIN2HEX(ReverseText(HEX2BIN(V15,8)),2)</f>
        <v>E0</v>
      </c>
      <c r="AR15" t="str">
        <f t="shared" ref="AR15" si="77">BIN2HEX(ReverseText(HEX2BIN(W15,8)),2)</f>
        <v>10</v>
      </c>
      <c r="AS15" t="str">
        <f t="shared" ref="AS15" si="78">BIN2HEX(ReverseText(HEX2BIN(X15,8)),2)</f>
        <v>00</v>
      </c>
      <c r="AT15" t="str">
        <f t="shared" ref="AT15" si="79">BIN2HEX(ReverseText(HEX2BIN(Y15,8)),2)</f>
        <v>01</v>
      </c>
      <c r="AU15" t="str">
        <f t="shared" ref="AU15" si="80">BIN2HEX(ReverseText(HEX2BIN(Z15,8)),2)</f>
        <v>00</v>
      </c>
      <c r="AV15" t="str">
        <f t="shared" ref="AV15" si="81">BIN2HEX(ReverseText(HEX2BIN(AA15,8)),2)</f>
        <v>06</v>
      </c>
      <c r="AW15" t="str">
        <f t="shared" ref="AW15" si="82">BIN2HEX(ReverseText(HEX2BIN(AB15,8)),2)</f>
        <v>2F</v>
      </c>
      <c r="AX15">
        <f t="shared" si="6"/>
        <v>47</v>
      </c>
      <c r="AY15" s="3" t="str">
        <f t="shared" ref="AY15" si="83">HEX2BIN(AE15,8)</f>
        <v>00000010</v>
      </c>
      <c r="AZ15" s="3" t="str">
        <f t="shared" ref="AZ15" si="84">HEX2BIN(AF15,8)</f>
        <v>00100000</v>
      </c>
      <c r="BA15" s="3" t="str">
        <f t="shared" ref="BA15" si="85">HEX2BIN(AG15,8)</f>
        <v>11100000</v>
      </c>
      <c r="BB15" s="3" t="str">
        <f t="shared" ref="BB15" si="86">HEX2BIN(AH15,8)</f>
        <v>00000100</v>
      </c>
      <c r="BC15" s="3" t="str">
        <f t="shared" ref="BC15" si="87">HEX2BIN(AI15,8)</f>
        <v>00000000</v>
      </c>
      <c r="BD15" s="3" t="str">
        <f t="shared" ref="BD15" si="88">HEX2BIN(AJ15,8)</f>
        <v>01001001</v>
      </c>
      <c r="BE15" s="3" t="str">
        <f t="shared" ref="BE15" si="89">HEX2BIN(AK15,8)</f>
        <v>00101010</v>
      </c>
      <c r="BF15" s="3" t="str">
        <f t="shared" ref="BF15" si="90">HEX2BIN(AL15,8)</f>
        <v>10000000</v>
      </c>
      <c r="BG15" s="3"/>
      <c r="BH15" s="3" t="str">
        <f t="shared" ref="BH15" si="91">HEX2BIN(AM15,8)</f>
        <v>00110001</v>
      </c>
      <c r="BI15" s="6" t="str">
        <f t="shared" ref="BI15" si="92">HEX2BIN(AN15,8)</f>
        <v>00000000</v>
      </c>
      <c r="BJ15" s="3"/>
      <c r="BK15" s="3" t="str">
        <f t="shared" ref="BK15" si="93">HEX2BIN(AO15,8)</f>
        <v>00000000</v>
      </c>
      <c r="BL15" s="3"/>
      <c r="BM15" s="3" t="str">
        <f t="shared" ref="BM15" si="94">HEX2BIN(AP15,8)</f>
        <v>00001110</v>
      </c>
      <c r="BN15" s="3"/>
      <c r="BO15" s="3" t="str">
        <f t="shared" ref="BO15" si="95">HEX2BIN(AQ15,8)</f>
        <v>11100000</v>
      </c>
      <c r="BP15" s="3"/>
      <c r="BQ15" s="3" t="str">
        <f t="shared" ref="BQ15" si="96">HEX2BIN(AR15,8)</f>
        <v>00010000</v>
      </c>
      <c r="BR15" s="3"/>
      <c r="BS15" s="3" t="str">
        <f t="shared" ref="BS15" si="97">HEX2BIN(AS15,8)</f>
        <v>00000000</v>
      </c>
      <c r="BT15" s="3" t="str">
        <f t="shared" ref="BT15" si="98">HEX2BIN(AT15,8)</f>
        <v>00000001</v>
      </c>
      <c r="BU15" s="3" t="str">
        <f t="shared" ref="BU15" si="99">HEX2BIN(AU15,8)</f>
        <v>00000000</v>
      </c>
      <c r="BV15" s="3" t="str">
        <f t="shared" ref="BV15" si="100">HEX2BIN(AV15,8)</f>
        <v>00000110</v>
      </c>
    </row>
    <row r="17" spans="58:59" x14ac:dyDescent="0.25">
      <c r="BF17">
        <f>143/6</f>
        <v>23.833333333333332</v>
      </c>
      <c r="BG17">
        <f>0.83*60</f>
        <v>49.8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42"/>
  <sheetViews>
    <sheetView workbookViewId="0">
      <selection activeCell="A18" sqref="A18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2" spans="1:1" x14ac:dyDescent="0.25">
      <c r="A12" t="s">
        <v>3</v>
      </c>
    </row>
    <row r="13" spans="1:1" x14ac:dyDescent="0.25">
      <c r="A13" t="s">
        <v>4</v>
      </c>
    </row>
    <row r="14" spans="1:1" x14ac:dyDescent="0.25">
      <c r="A14" t="s">
        <v>5</v>
      </c>
    </row>
    <row r="15" spans="1:1" x14ac:dyDescent="0.25">
      <c r="A15" t="s">
        <v>6</v>
      </c>
    </row>
    <row r="16" spans="1:1" x14ac:dyDescent="0.25">
      <c r="A16" t="s">
        <v>7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12</v>
      </c>
    </row>
    <row r="22" spans="1:1" x14ac:dyDescent="0.25">
      <c r="A22" t="s">
        <v>13</v>
      </c>
    </row>
    <row r="23" spans="1:1" x14ac:dyDescent="0.25">
      <c r="A23" t="s">
        <v>14</v>
      </c>
    </row>
    <row r="24" spans="1:1" x14ac:dyDescent="0.25">
      <c r="A24" t="s">
        <v>15</v>
      </c>
    </row>
    <row r="27" spans="1:1" x14ac:dyDescent="0.25">
      <c r="A27" t="s">
        <v>43</v>
      </c>
    </row>
    <row r="29" spans="1:1" x14ac:dyDescent="0.25">
      <c r="A29" t="s">
        <v>16</v>
      </c>
    </row>
    <row r="30" spans="1:1" x14ac:dyDescent="0.25">
      <c r="A30" t="s">
        <v>44</v>
      </c>
    </row>
    <row r="33" spans="1:1" x14ac:dyDescent="0.25">
      <c r="A33" t="s">
        <v>45</v>
      </c>
    </row>
    <row r="35" spans="1:1" x14ac:dyDescent="0.25">
      <c r="A35" t="s">
        <v>18</v>
      </c>
    </row>
    <row r="36" spans="1:1" x14ac:dyDescent="0.25">
      <c r="A36" t="s">
        <v>17</v>
      </c>
    </row>
    <row r="39" spans="1:1" x14ac:dyDescent="0.25">
      <c r="A39" t="s">
        <v>46</v>
      </c>
    </row>
    <row r="41" spans="1:1" x14ac:dyDescent="0.25">
      <c r="A41" t="s">
        <v>19</v>
      </c>
    </row>
    <row r="42" spans="1:1" x14ac:dyDescent="0.25">
      <c r="A42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"/>
  <sheetViews>
    <sheetView workbookViewId="0">
      <selection activeCell="J37" sqref="J37"/>
    </sheetView>
  </sheetViews>
  <sheetFormatPr baseColWidth="10" defaultRowHeight="15" x14ac:dyDescent="0.25"/>
  <sheetData/>
  <pageMargins left="0.7" right="0.7" top="0.75" bottom="0.75" header="0.3" footer="0.3"/>
  <pageSetup paperSize="9" scale="76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3:Q42"/>
  <sheetViews>
    <sheetView workbookViewId="0">
      <selection activeCell="V48" sqref="V48"/>
    </sheetView>
  </sheetViews>
  <sheetFormatPr baseColWidth="10" defaultRowHeight="15" x14ac:dyDescent="0.25"/>
  <cols>
    <col min="1" max="8" width="4.5703125" style="4" customWidth="1"/>
    <col min="10" max="17" width="4.7109375" customWidth="1"/>
  </cols>
  <sheetData>
    <row r="3" spans="1:17" x14ac:dyDescent="0.25">
      <c r="A3" s="5">
        <v>1</v>
      </c>
      <c r="B3" s="5">
        <v>2</v>
      </c>
      <c r="C3" s="5">
        <v>3</v>
      </c>
      <c r="D3" s="5">
        <v>4</v>
      </c>
      <c r="E3" s="5">
        <v>5</v>
      </c>
      <c r="F3" s="5">
        <v>6</v>
      </c>
      <c r="G3" s="5">
        <v>7</v>
      </c>
      <c r="H3" s="5">
        <v>8</v>
      </c>
      <c r="J3" s="5">
        <v>1</v>
      </c>
      <c r="K3" s="5">
        <v>2</v>
      </c>
      <c r="L3" s="5">
        <v>3</v>
      </c>
      <c r="M3" s="5">
        <v>4</v>
      </c>
      <c r="N3" s="5">
        <v>5</v>
      </c>
      <c r="O3" s="5">
        <v>6</v>
      </c>
      <c r="P3" s="5">
        <v>7</v>
      </c>
      <c r="Q3" s="5">
        <v>8</v>
      </c>
    </row>
    <row r="4" spans="1:17" x14ac:dyDescent="0.25">
      <c r="A4" s="5"/>
      <c r="B4" s="5"/>
      <c r="C4" s="5"/>
      <c r="D4" s="5"/>
      <c r="E4" s="5"/>
      <c r="F4" s="5"/>
      <c r="G4" s="5"/>
      <c r="H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s="5"/>
      <c r="B5" s="5"/>
      <c r="C5" s="5"/>
      <c r="D5" s="5"/>
      <c r="E5" s="5"/>
      <c r="F5" s="5"/>
      <c r="G5" s="5"/>
      <c r="H5" s="5"/>
      <c r="J5" s="5"/>
      <c r="K5" s="5"/>
      <c r="L5" s="5"/>
      <c r="M5" s="5"/>
      <c r="N5" s="5"/>
      <c r="O5" s="5"/>
      <c r="P5" s="5"/>
      <c r="Q5" s="5"/>
    </row>
    <row r="6" spans="1:17" x14ac:dyDescent="0.25">
      <c r="A6" s="5"/>
      <c r="B6" s="5"/>
      <c r="C6" s="5"/>
      <c r="D6" s="5"/>
      <c r="E6" s="5"/>
      <c r="F6" s="5"/>
      <c r="G6" s="5"/>
      <c r="H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s="5"/>
      <c r="B7" s="5"/>
      <c r="C7" s="5"/>
      <c r="D7" s="5"/>
      <c r="E7" s="5"/>
      <c r="F7" s="5"/>
      <c r="G7" s="5"/>
      <c r="H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s="5"/>
      <c r="B8" s="5"/>
      <c r="C8" s="5"/>
      <c r="D8" s="5"/>
      <c r="E8" s="5"/>
      <c r="F8" s="5"/>
      <c r="G8" s="5"/>
      <c r="H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5"/>
      <c r="B9" s="5"/>
      <c r="C9" s="5"/>
      <c r="D9" s="5"/>
      <c r="E9" s="5"/>
      <c r="F9" s="5"/>
      <c r="G9" s="5"/>
      <c r="H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5"/>
      <c r="B10" s="5"/>
      <c r="C10" s="5"/>
      <c r="D10" s="5"/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s="5"/>
      <c r="B11" s="5"/>
      <c r="C11" s="5"/>
      <c r="D11" s="5"/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"/>
      <c r="B12" s="5"/>
      <c r="C12" s="5"/>
      <c r="D12" s="5"/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"/>
      <c r="B13" s="5"/>
      <c r="C13" s="5"/>
      <c r="D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"/>
      <c r="B14" s="5"/>
      <c r="C14" s="5"/>
      <c r="D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/>
      <c r="B15"/>
      <c r="C15"/>
      <c r="D15"/>
      <c r="E15"/>
      <c r="F15"/>
      <c r="G15"/>
      <c r="H15"/>
    </row>
    <row r="16" spans="1:17" x14ac:dyDescent="0.25">
      <c r="A16"/>
      <c r="B16"/>
      <c r="C16"/>
      <c r="D16"/>
      <c r="E16"/>
      <c r="F16"/>
      <c r="G16"/>
      <c r="H16"/>
    </row>
    <row r="17" spans="1:17" x14ac:dyDescent="0.25">
      <c r="A17" s="5">
        <v>1</v>
      </c>
      <c r="B17" s="5">
        <v>2</v>
      </c>
      <c r="C17" s="5">
        <v>3</v>
      </c>
      <c r="D17" s="5">
        <v>4</v>
      </c>
      <c r="E17" s="5">
        <v>5</v>
      </c>
      <c r="F17" s="5">
        <v>6</v>
      </c>
      <c r="G17" s="5">
        <v>7</v>
      </c>
      <c r="H17" s="5">
        <v>8</v>
      </c>
      <c r="J17" s="5">
        <v>1</v>
      </c>
      <c r="K17" s="5">
        <v>2</v>
      </c>
      <c r="L17" s="5">
        <v>3</v>
      </c>
      <c r="M17" s="5">
        <v>4</v>
      </c>
      <c r="N17" s="5">
        <v>5</v>
      </c>
      <c r="O17" s="5">
        <v>6</v>
      </c>
      <c r="P17" s="5">
        <v>7</v>
      </c>
      <c r="Q17" s="5">
        <v>8</v>
      </c>
    </row>
    <row r="18" spans="1:17" x14ac:dyDescent="0.25">
      <c r="A18" s="5"/>
      <c r="B18" s="5"/>
      <c r="C18" s="5"/>
      <c r="D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</row>
    <row r="19" spans="1:17" x14ac:dyDescent="0.25">
      <c r="A19" s="5"/>
      <c r="B19" s="5"/>
      <c r="C19" s="5"/>
      <c r="D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</row>
    <row r="20" spans="1:17" x14ac:dyDescent="0.25">
      <c r="A20" s="5"/>
      <c r="B20" s="5"/>
      <c r="C20" s="5"/>
      <c r="D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</row>
    <row r="21" spans="1:17" x14ac:dyDescent="0.25">
      <c r="A21" s="5"/>
      <c r="B21" s="5"/>
      <c r="C21" s="5"/>
      <c r="D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</row>
    <row r="22" spans="1:17" x14ac:dyDescent="0.25">
      <c r="A22" s="5"/>
      <c r="B22" s="5"/>
      <c r="C22" s="5"/>
      <c r="D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5"/>
      <c r="B23" s="5"/>
      <c r="C23" s="5"/>
      <c r="D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</row>
    <row r="26" spans="1:17" x14ac:dyDescent="0.25">
      <c r="A26" s="5"/>
      <c r="B26" s="5"/>
      <c r="C26" s="5"/>
      <c r="D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</row>
    <row r="27" spans="1:17" x14ac:dyDescent="0.25">
      <c r="A27" s="5"/>
      <c r="B27" s="5"/>
      <c r="C27" s="5"/>
      <c r="D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</row>
    <row r="28" spans="1:17" x14ac:dyDescent="0.25">
      <c r="A28" s="5"/>
      <c r="B28" s="5"/>
      <c r="C28" s="5"/>
      <c r="D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</row>
    <row r="31" spans="1:17" x14ac:dyDescent="0.25">
      <c r="A31" s="5">
        <v>1</v>
      </c>
      <c r="B31" s="5">
        <v>2</v>
      </c>
      <c r="C31" s="5">
        <v>3</v>
      </c>
      <c r="D31" s="5">
        <v>4</v>
      </c>
      <c r="E31" s="5">
        <v>5</v>
      </c>
      <c r="F31" s="5">
        <v>6</v>
      </c>
      <c r="G31" s="5">
        <v>7</v>
      </c>
      <c r="H31" s="5">
        <v>8</v>
      </c>
      <c r="J31" s="5">
        <v>1</v>
      </c>
      <c r="K31" s="5">
        <v>2</v>
      </c>
      <c r="L31" s="5">
        <v>3</v>
      </c>
      <c r="M31" s="5">
        <v>4</v>
      </c>
      <c r="N31" s="5">
        <v>5</v>
      </c>
      <c r="O31" s="5">
        <v>6</v>
      </c>
      <c r="P31" s="5">
        <v>7</v>
      </c>
      <c r="Q31" s="5">
        <v>8</v>
      </c>
    </row>
    <row r="32" spans="1:17" x14ac:dyDescent="0.25">
      <c r="A32" s="5"/>
      <c r="B32" s="5"/>
      <c r="C32" s="5"/>
      <c r="D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</row>
    <row r="33" spans="1:17" x14ac:dyDescent="0.25">
      <c r="A33" s="5"/>
      <c r="B33" s="5"/>
      <c r="C33" s="5"/>
      <c r="D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</row>
    <row r="34" spans="1:17" x14ac:dyDescent="0.25">
      <c r="A34" s="5"/>
      <c r="B34" s="5"/>
      <c r="C34" s="5"/>
      <c r="D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</row>
    <row r="35" spans="1:17" x14ac:dyDescent="0.25">
      <c r="A35" s="5"/>
      <c r="B35" s="5"/>
      <c r="C35" s="5"/>
      <c r="D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</row>
    <row r="36" spans="1:17" x14ac:dyDescent="0.25">
      <c r="A36" s="5"/>
      <c r="B36" s="5"/>
      <c r="C36" s="5"/>
      <c r="D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</row>
    <row r="37" spans="1:17" x14ac:dyDescent="0.25">
      <c r="A37" s="5"/>
      <c r="B37" s="5"/>
      <c r="C37" s="5"/>
      <c r="D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</row>
    <row r="38" spans="1:17" x14ac:dyDescent="0.25">
      <c r="A38" s="5"/>
      <c r="B38" s="5"/>
      <c r="C38" s="5"/>
      <c r="D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</row>
    <row r="39" spans="1:17" x14ac:dyDescent="0.25">
      <c r="A39" s="5"/>
      <c r="B39" s="5"/>
      <c r="C39" s="5"/>
      <c r="D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</row>
    <row r="40" spans="1:17" x14ac:dyDescent="0.25">
      <c r="A40" s="5"/>
      <c r="B40" s="5"/>
      <c r="C40" s="5"/>
      <c r="D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</row>
    <row r="41" spans="1:17" x14ac:dyDescent="0.25">
      <c r="A41" s="5"/>
      <c r="B41" s="5"/>
      <c r="C41" s="5"/>
      <c r="D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</row>
    <row r="42" spans="1:17" x14ac:dyDescent="0.25">
      <c r="A42" s="5"/>
      <c r="B42" s="5"/>
      <c r="C42" s="5"/>
      <c r="D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25"/>
  <sheetViews>
    <sheetView workbookViewId="0">
      <selection activeCell="B2" sqref="B2"/>
    </sheetView>
  </sheetViews>
  <sheetFormatPr baseColWidth="10" defaultRowHeight="15" x14ac:dyDescent="0.25"/>
  <sheetData>
    <row r="1" spans="1:8" x14ac:dyDescent="0.25">
      <c r="A1" t="s">
        <v>65</v>
      </c>
    </row>
    <row r="3" spans="1:8" x14ac:dyDescent="0.25">
      <c r="B3" t="s">
        <v>21</v>
      </c>
      <c r="C3" t="s">
        <v>53</v>
      </c>
      <c r="D3" t="s">
        <v>53</v>
      </c>
      <c r="G3">
        <f>BIN2DEC(C3)+G2</f>
        <v>35</v>
      </c>
      <c r="H3">
        <f>BIN2DEC(D3)+H2</f>
        <v>35</v>
      </c>
    </row>
    <row r="4" spans="1:8" x14ac:dyDescent="0.25">
      <c r="B4" t="s">
        <v>22</v>
      </c>
      <c r="C4" t="s">
        <v>54</v>
      </c>
      <c r="D4" t="s">
        <v>54</v>
      </c>
      <c r="G4">
        <f>BIN2DEC(C4)+G3</f>
        <v>238</v>
      </c>
      <c r="H4">
        <f>BIN2DEC(D4)+H3</f>
        <v>238</v>
      </c>
    </row>
    <row r="5" spans="1:8" x14ac:dyDescent="0.25">
      <c r="B5" t="s">
        <v>23</v>
      </c>
      <c r="C5" t="s">
        <v>55</v>
      </c>
      <c r="D5" t="s">
        <v>55</v>
      </c>
      <c r="G5">
        <f t="shared" ref="G5:H20" si="0">BIN2DEC(C5)+G4</f>
        <v>276</v>
      </c>
      <c r="H5">
        <f t="shared" si="0"/>
        <v>276</v>
      </c>
    </row>
    <row r="6" spans="1:8" x14ac:dyDescent="0.25">
      <c r="B6" t="s">
        <v>24</v>
      </c>
      <c r="C6" t="s">
        <v>56</v>
      </c>
      <c r="D6" t="s">
        <v>56</v>
      </c>
      <c r="G6">
        <f t="shared" si="0"/>
        <v>277</v>
      </c>
      <c r="H6">
        <f t="shared" si="0"/>
        <v>277</v>
      </c>
    </row>
    <row r="7" spans="1:8" x14ac:dyDescent="0.25">
      <c r="B7" t="s">
        <v>25</v>
      </c>
      <c r="C7" t="s">
        <v>39</v>
      </c>
      <c r="D7" t="s">
        <v>39</v>
      </c>
      <c r="G7">
        <f t="shared" si="0"/>
        <v>277</v>
      </c>
      <c r="H7">
        <f t="shared" si="0"/>
        <v>277</v>
      </c>
    </row>
    <row r="8" spans="1:8" x14ac:dyDescent="0.25">
      <c r="B8" t="s">
        <v>26</v>
      </c>
      <c r="C8" t="s">
        <v>57</v>
      </c>
      <c r="D8" t="s">
        <v>39</v>
      </c>
      <c r="G8">
        <f t="shared" si="0"/>
        <v>309</v>
      </c>
      <c r="H8">
        <f t="shared" si="0"/>
        <v>277</v>
      </c>
    </row>
    <row r="9" spans="1:8" x14ac:dyDescent="0.25">
      <c r="B9" t="s">
        <v>27</v>
      </c>
      <c r="C9" t="s">
        <v>58</v>
      </c>
      <c r="D9" t="s">
        <v>58</v>
      </c>
      <c r="G9">
        <f t="shared" si="0"/>
        <v>317</v>
      </c>
      <c r="H9">
        <f t="shared" si="0"/>
        <v>285</v>
      </c>
    </row>
    <row r="10" spans="1:8" x14ac:dyDescent="0.25">
      <c r="B10" t="s">
        <v>28</v>
      </c>
      <c r="C10" t="s">
        <v>59</v>
      </c>
      <c r="D10" t="s">
        <v>59</v>
      </c>
      <c r="G10">
        <f t="shared" si="0"/>
        <v>322</v>
      </c>
      <c r="H10">
        <f t="shared" si="0"/>
        <v>290</v>
      </c>
    </row>
    <row r="11" spans="1:8" x14ac:dyDescent="0.25">
      <c r="B11" t="s">
        <v>29</v>
      </c>
      <c r="C11" t="s">
        <v>60</v>
      </c>
      <c r="D11" t="s">
        <v>60</v>
      </c>
      <c r="G11">
        <f t="shared" si="0"/>
        <v>370</v>
      </c>
      <c r="H11">
        <f t="shared" si="0"/>
        <v>338</v>
      </c>
    </row>
    <row r="12" spans="1:8" x14ac:dyDescent="0.25">
      <c r="B12" t="s">
        <v>30</v>
      </c>
      <c r="C12" t="s">
        <v>61</v>
      </c>
      <c r="D12" t="s">
        <v>61</v>
      </c>
      <c r="G12">
        <f t="shared" si="0"/>
        <v>439</v>
      </c>
      <c r="H12">
        <f t="shared" si="0"/>
        <v>407</v>
      </c>
    </row>
    <row r="13" spans="1:8" x14ac:dyDescent="0.25">
      <c r="B13" t="s">
        <v>31</v>
      </c>
      <c r="C13" t="s">
        <v>62</v>
      </c>
      <c r="D13" t="s">
        <v>62</v>
      </c>
      <c r="G13">
        <f t="shared" si="0"/>
        <v>523</v>
      </c>
      <c r="H13">
        <f t="shared" si="0"/>
        <v>491</v>
      </c>
    </row>
    <row r="14" spans="1:8" x14ac:dyDescent="0.25">
      <c r="B14" t="s">
        <v>32</v>
      </c>
      <c r="C14" t="s">
        <v>39</v>
      </c>
      <c r="D14" t="s">
        <v>39</v>
      </c>
      <c r="G14">
        <f t="shared" si="0"/>
        <v>523</v>
      </c>
      <c r="H14">
        <f t="shared" si="0"/>
        <v>491</v>
      </c>
    </row>
    <row r="15" spans="1:8" x14ac:dyDescent="0.25">
      <c r="B15" t="s">
        <v>33</v>
      </c>
      <c r="C15" t="s">
        <v>39</v>
      </c>
      <c r="D15" t="s">
        <v>39</v>
      </c>
      <c r="G15">
        <f t="shared" si="0"/>
        <v>523</v>
      </c>
      <c r="H15">
        <f t="shared" si="0"/>
        <v>491</v>
      </c>
    </row>
    <row r="16" spans="1:8" x14ac:dyDescent="0.25">
      <c r="B16" t="s">
        <v>34</v>
      </c>
      <c r="C16" t="s">
        <v>39</v>
      </c>
      <c r="D16" t="s">
        <v>39</v>
      </c>
      <c r="G16">
        <f t="shared" si="0"/>
        <v>523</v>
      </c>
      <c r="H16">
        <f t="shared" si="0"/>
        <v>491</v>
      </c>
    </row>
    <row r="17" spans="2:8" x14ac:dyDescent="0.25">
      <c r="B17" t="s">
        <v>35</v>
      </c>
      <c r="C17" t="s">
        <v>39</v>
      </c>
      <c r="D17" t="s">
        <v>39</v>
      </c>
      <c r="G17">
        <f t="shared" si="0"/>
        <v>523</v>
      </c>
      <c r="H17">
        <f t="shared" si="0"/>
        <v>491</v>
      </c>
    </row>
    <row r="18" spans="2:8" x14ac:dyDescent="0.25">
      <c r="B18" t="s">
        <v>36</v>
      </c>
      <c r="C18" t="s">
        <v>39</v>
      </c>
      <c r="D18" t="s">
        <v>39</v>
      </c>
      <c r="G18">
        <f t="shared" si="0"/>
        <v>523</v>
      </c>
      <c r="H18">
        <f t="shared" si="0"/>
        <v>491</v>
      </c>
    </row>
    <row r="19" spans="2:8" x14ac:dyDescent="0.25">
      <c r="B19" t="s">
        <v>37</v>
      </c>
      <c r="C19" t="s">
        <v>39</v>
      </c>
      <c r="D19" t="s">
        <v>39</v>
      </c>
      <c r="G19">
        <f t="shared" si="0"/>
        <v>523</v>
      </c>
      <c r="H19">
        <f t="shared" si="0"/>
        <v>491</v>
      </c>
    </row>
    <row r="20" spans="2:8" x14ac:dyDescent="0.25">
      <c r="G20">
        <f t="shared" si="0"/>
        <v>523</v>
      </c>
      <c r="H20">
        <f t="shared" si="0"/>
        <v>491</v>
      </c>
    </row>
    <row r="23" spans="2:8" x14ac:dyDescent="0.25">
      <c r="B23" t="s">
        <v>38</v>
      </c>
      <c r="C23" t="s">
        <v>63</v>
      </c>
      <c r="D23" t="s">
        <v>64</v>
      </c>
      <c r="G23" t="str">
        <f>DEC2HEX(G20,4)</f>
        <v>020B</v>
      </c>
      <c r="H23" t="str">
        <f>DEC2HEX(H20,4)</f>
        <v>01EB</v>
      </c>
    </row>
    <row r="24" spans="2:8" x14ac:dyDescent="0.25">
      <c r="G24" t="str">
        <f>RIGHT(G23,2)</f>
        <v>0B</v>
      </c>
      <c r="H24" t="str">
        <f>RIGHT(H23,2)</f>
        <v>EB</v>
      </c>
    </row>
    <row r="25" spans="2:8" x14ac:dyDescent="0.25">
      <c r="G25" t="str">
        <f>HEX2BIN(G24,8)</f>
        <v>00001011</v>
      </c>
      <c r="H25" t="str">
        <f>HEX2BIN(H24,8)</f>
        <v>11101011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Feuil2</vt:lpstr>
      <vt:lpstr>Feuil3</vt:lpstr>
      <vt:lpstr>Feuil4</vt:lpstr>
      <vt:lpstr>Feuil5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CRUVELLIER</dc:creator>
  <cp:lastModifiedBy>Vincent CRUVELLIER</cp:lastModifiedBy>
  <cp:lastPrinted>2014-11-18T19:35:55Z</cp:lastPrinted>
  <dcterms:created xsi:type="dcterms:W3CDTF">2014-11-13T20:47:08Z</dcterms:created>
  <dcterms:modified xsi:type="dcterms:W3CDTF">2014-11-19T06:15:36Z</dcterms:modified>
</cp:coreProperties>
</file>