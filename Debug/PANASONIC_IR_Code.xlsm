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05" windowWidth="24915" windowHeight="12600" activeTab="5"/>
  </bookViews>
  <sheets>
    <sheet name="Feuil1" sheetId="1" r:id="rId1"/>
    <sheet name="Feuil2" sheetId="2" r:id="rId2"/>
    <sheet name="Feuil3" sheetId="3" r:id="rId3"/>
    <sheet name="Feuil4" sheetId="4" r:id="rId4"/>
    <sheet name="Feuil5" sheetId="5" r:id="rId5"/>
    <sheet name="Feuil5 (2)" sheetId="6" r:id="rId6"/>
  </sheets>
  <functionGroups builtInGroupCount="17"/>
  <calcPr calcId="145621"/>
</workbook>
</file>

<file path=xl/calcChain.xml><?xml version="1.0" encoding="utf-8"?>
<calcChain xmlns="http://schemas.openxmlformats.org/spreadsheetml/2006/main">
  <c r="D18" i="6" l="1"/>
  <c r="E18" i="6"/>
  <c r="G18" i="6" s="1"/>
  <c r="F18" i="6"/>
  <c r="H18" i="6" s="1"/>
  <c r="E44" i="6"/>
  <c r="G44" i="6" s="1"/>
  <c r="E43" i="6"/>
  <c r="G43" i="6" s="1"/>
  <c r="E42" i="6"/>
  <c r="G42" i="6" s="1"/>
  <c r="E41" i="6"/>
  <c r="G41" i="6" s="1"/>
  <c r="E40" i="6"/>
  <c r="G40" i="6" s="1"/>
  <c r="E39" i="6"/>
  <c r="G39" i="6" s="1"/>
  <c r="E38" i="6"/>
  <c r="G38" i="6" s="1"/>
  <c r="E37" i="6"/>
  <c r="G37" i="6" s="1"/>
  <c r="E36" i="6"/>
  <c r="G36" i="6" s="1"/>
  <c r="E35" i="6"/>
  <c r="G35" i="6" s="1"/>
  <c r="E34" i="6"/>
  <c r="G34" i="6" s="1"/>
  <c r="E33" i="6"/>
  <c r="G33" i="6" s="1"/>
  <c r="E32" i="6"/>
  <c r="G32" i="6" s="1"/>
  <c r="E31" i="6"/>
  <c r="G31" i="6" s="1"/>
  <c r="E30" i="6"/>
  <c r="G30" i="6" s="1"/>
  <c r="E29" i="6"/>
  <c r="G29" i="6" s="1"/>
  <c r="E28" i="6"/>
  <c r="G28" i="6" s="1"/>
  <c r="E27" i="6"/>
  <c r="G27" i="6" s="1"/>
  <c r="E26" i="6"/>
  <c r="G26" i="6" s="1"/>
  <c r="E25" i="6"/>
  <c r="G25" i="6" s="1"/>
  <c r="E24" i="6"/>
  <c r="G24" i="6" s="1"/>
  <c r="E23" i="6"/>
  <c r="G23" i="6" s="1"/>
  <c r="E22" i="6"/>
  <c r="G22" i="6" s="1"/>
  <c r="E21" i="6"/>
  <c r="G21" i="6" s="1"/>
  <c r="E20" i="6"/>
  <c r="G20" i="6" s="1"/>
  <c r="E19" i="6"/>
  <c r="G19" i="6" s="1"/>
  <c r="AG2" i="6"/>
  <c r="AG3" i="6" s="1"/>
  <c r="AF2" i="6"/>
  <c r="AF4" i="6" s="1"/>
  <c r="AE2" i="6"/>
  <c r="AE3" i="6" s="1"/>
  <c r="AD2" i="6"/>
  <c r="AD4" i="6" s="1"/>
  <c r="AC2" i="6"/>
  <c r="AC3" i="6" s="1"/>
  <c r="AB2" i="6"/>
  <c r="AB4" i="6" s="1"/>
  <c r="AA2" i="6"/>
  <c r="AA3" i="6" s="1"/>
  <c r="Z2" i="6"/>
  <c r="Z4" i="6" s="1"/>
  <c r="Y2" i="6"/>
  <c r="Y3" i="6" s="1"/>
  <c r="X2" i="6"/>
  <c r="X4" i="6" s="1"/>
  <c r="W2" i="6"/>
  <c r="W3" i="6" s="1"/>
  <c r="V2" i="6"/>
  <c r="V4" i="6" s="1"/>
  <c r="U2" i="6"/>
  <c r="U3" i="6" s="1"/>
  <c r="T2" i="6"/>
  <c r="T4" i="6" s="1"/>
  <c r="S2" i="6"/>
  <c r="S3" i="6" s="1"/>
  <c r="R2" i="6"/>
  <c r="R4" i="6" s="1"/>
  <c r="Q2" i="6"/>
  <c r="Q3" i="6" s="1"/>
  <c r="P2" i="6"/>
  <c r="P4" i="6" s="1"/>
  <c r="O2" i="6"/>
  <c r="O3" i="6" s="1"/>
  <c r="N2" i="6"/>
  <c r="N4" i="6" s="1"/>
  <c r="M2" i="6"/>
  <c r="M3" i="6" s="1"/>
  <c r="L2" i="6"/>
  <c r="L4" i="6" s="1"/>
  <c r="K2" i="6"/>
  <c r="K3" i="6" s="1"/>
  <c r="J2" i="6"/>
  <c r="J4" i="6" s="1"/>
  <c r="H2" i="6"/>
  <c r="H3" i="6" s="1"/>
  <c r="F2" i="6"/>
  <c r="F4" i="6" s="1"/>
  <c r="E2" i="6"/>
  <c r="E3" i="6" s="1"/>
  <c r="I45" i="5"/>
  <c r="I44" i="5"/>
  <c r="I25" i="5"/>
  <c r="I24" i="5"/>
  <c r="G33" i="5"/>
  <c r="G29" i="5"/>
  <c r="G19" i="5"/>
  <c r="G23" i="5"/>
  <c r="G18" i="5"/>
  <c r="E19" i="5"/>
  <c r="E20" i="5"/>
  <c r="G20" i="5" s="1"/>
  <c r="E21" i="5"/>
  <c r="G21" i="5" s="1"/>
  <c r="E22" i="5"/>
  <c r="G22" i="5" s="1"/>
  <c r="E23" i="5"/>
  <c r="E24" i="5"/>
  <c r="G24" i="5" s="1"/>
  <c r="E25" i="5"/>
  <c r="G25" i="5" s="1"/>
  <c r="E27" i="5"/>
  <c r="G27" i="5" s="1"/>
  <c r="E28" i="5"/>
  <c r="G28" i="5" s="1"/>
  <c r="E29" i="5"/>
  <c r="E30" i="5"/>
  <c r="G30" i="5" s="1"/>
  <c r="E31" i="5"/>
  <c r="G31" i="5" s="1"/>
  <c r="E32" i="5"/>
  <c r="G32" i="5" s="1"/>
  <c r="E33" i="5"/>
  <c r="E34" i="5"/>
  <c r="G34" i="5" s="1"/>
  <c r="E35" i="5"/>
  <c r="G35" i="5" s="1"/>
  <c r="E36" i="5"/>
  <c r="G36" i="5" s="1"/>
  <c r="E37" i="5"/>
  <c r="G37" i="5" s="1"/>
  <c r="E38" i="5"/>
  <c r="G38" i="5" s="1"/>
  <c r="E39" i="5"/>
  <c r="G39" i="5" s="1"/>
  <c r="E40" i="5"/>
  <c r="G40" i="5" s="1"/>
  <c r="E41" i="5"/>
  <c r="G41" i="5" s="1"/>
  <c r="E42" i="5"/>
  <c r="G42" i="5" s="1"/>
  <c r="E43" i="5"/>
  <c r="G43" i="5" s="1"/>
  <c r="E44" i="5"/>
  <c r="G44" i="5" s="1"/>
  <c r="E45" i="5"/>
  <c r="G45" i="5" s="1"/>
  <c r="E18" i="5"/>
  <c r="AE2" i="5"/>
  <c r="AE4" i="5" s="1"/>
  <c r="AF2" i="5"/>
  <c r="AF4" i="5" s="1"/>
  <c r="AG2" i="5"/>
  <c r="AG3" i="5" s="1"/>
  <c r="O2" i="5"/>
  <c r="P2" i="5"/>
  <c r="Q2" i="5"/>
  <c r="R2" i="5"/>
  <c r="S2" i="5"/>
  <c r="T2" i="5"/>
  <c r="U2" i="5"/>
  <c r="V2" i="5"/>
  <c r="W2" i="5"/>
  <c r="X2" i="5"/>
  <c r="Y2" i="5"/>
  <c r="Z2" i="5"/>
  <c r="AA2" i="5"/>
  <c r="AB2" i="5"/>
  <c r="AC2" i="5"/>
  <c r="AD2" i="5"/>
  <c r="O3" i="5"/>
  <c r="P3" i="5"/>
  <c r="Q3" i="5"/>
  <c r="R3" i="5"/>
  <c r="S3" i="5"/>
  <c r="T3" i="5"/>
  <c r="U3" i="5"/>
  <c r="V3" i="5"/>
  <c r="W3" i="5"/>
  <c r="X3" i="5"/>
  <c r="Y3" i="5"/>
  <c r="Z3" i="5"/>
  <c r="AA3" i="5"/>
  <c r="AB3" i="5"/>
  <c r="AC3" i="5"/>
  <c r="AD3" i="5"/>
  <c r="O4" i="5"/>
  <c r="P4" i="5"/>
  <c r="Q4" i="5"/>
  <c r="R4" i="5"/>
  <c r="S4" i="5"/>
  <c r="T4" i="5"/>
  <c r="U4" i="5"/>
  <c r="V4" i="5"/>
  <c r="W4" i="5"/>
  <c r="X4" i="5"/>
  <c r="Y4" i="5"/>
  <c r="Z4" i="5"/>
  <c r="AA4" i="5"/>
  <c r="AB4" i="5"/>
  <c r="AC4" i="5"/>
  <c r="AD4" i="5"/>
  <c r="M17" i="1"/>
  <c r="N17" i="1" s="1"/>
  <c r="O17" i="1" s="1"/>
  <c r="P17" i="1" s="1"/>
  <c r="Q17" i="1" s="1"/>
  <c r="R17" i="1" s="1"/>
  <c r="S17" i="1" s="1"/>
  <c r="T17" i="1" s="1"/>
  <c r="U17" i="1" s="1"/>
  <c r="V17" i="1" s="1"/>
  <c r="W17" i="1" s="1"/>
  <c r="X17" i="1" s="1"/>
  <c r="Y17" i="1" s="1"/>
  <c r="Z17" i="1" s="1"/>
  <c r="AA17" i="1" s="1"/>
  <c r="AB17" i="1" s="1"/>
  <c r="AC17" i="1" s="1"/>
  <c r="L17" i="1"/>
  <c r="K17" i="1"/>
  <c r="H2" i="5"/>
  <c r="H3" i="5" s="1"/>
  <c r="J2" i="5"/>
  <c r="J4" i="5" s="1"/>
  <c r="K2" i="5"/>
  <c r="K3" i="5" s="1"/>
  <c r="L2" i="5"/>
  <c r="L3" i="5" s="1"/>
  <c r="M2" i="5"/>
  <c r="M3" i="5" s="1"/>
  <c r="N2" i="5"/>
  <c r="N4" i="5" s="1"/>
  <c r="F2" i="5"/>
  <c r="F3" i="5" s="1"/>
  <c r="E2" i="5"/>
  <c r="E4" i="5" s="1"/>
  <c r="D40" i="6"/>
  <c r="D36" i="6"/>
  <c r="D32" i="6"/>
  <c r="D28" i="6"/>
  <c r="D24" i="6"/>
  <c r="D20" i="6"/>
  <c r="D43" i="6"/>
  <c r="D39" i="6"/>
  <c r="D35" i="6"/>
  <c r="D31" i="6"/>
  <c r="D27" i="6"/>
  <c r="D25" i="6"/>
  <c r="D23" i="6"/>
  <c r="D19" i="6"/>
  <c r="D44" i="6"/>
  <c r="D42" i="6"/>
  <c r="D38" i="6"/>
  <c r="D34" i="6"/>
  <c r="D30" i="6"/>
  <c r="D26" i="6"/>
  <c r="D22" i="6"/>
  <c r="D41" i="6"/>
  <c r="D37" i="6"/>
  <c r="D33" i="6"/>
  <c r="D29" i="6"/>
  <c r="D21" i="6"/>
  <c r="D21" i="5"/>
  <c r="D25" i="5"/>
  <c r="D30" i="5"/>
  <c r="D34" i="5"/>
  <c r="D38" i="5"/>
  <c r="D42" i="5"/>
  <c r="D22" i="5"/>
  <c r="D27" i="5"/>
  <c r="D31" i="5"/>
  <c r="D35" i="5"/>
  <c r="D39" i="5"/>
  <c r="D43" i="5"/>
  <c r="D19" i="5"/>
  <c r="D23" i="5"/>
  <c r="D28" i="5"/>
  <c r="D32" i="5"/>
  <c r="D36" i="5"/>
  <c r="D40" i="5"/>
  <c r="D44" i="5"/>
  <c r="D20" i="5"/>
  <c r="D24" i="5"/>
  <c r="D29" i="5"/>
  <c r="D33" i="5"/>
  <c r="D37" i="5"/>
  <c r="D41" i="5"/>
  <c r="D45" i="5"/>
  <c r="D18" i="5"/>
  <c r="F3" i="6" l="1"/>
  <c r="X3" i="6"/>
  <c r="L3" i="6"/>
  <c r="AB3" i="6"/>
  <c r="P3" i="6"/>
  <c r="AF3" i="6"/>
  <c r="T3" i="6"/>
  <c r="F18" i="5"/>
  <c r="H18" i="5" s="1"/>
  <c r="F21" i="6"/>
  <c r="H21" i="6" s="1"/>
  <c r="F29" i="6"/>
  <c r="H29" i="6" s="1"/>
  <c r="F33" i="6"/>
  <c r="H33" i="6" s="1"/>
  <c r="F37" i="6"/>
  <c r="H37" i="6" s="1"/>
  <c r="F41" i="6"/>
  <c r="H41" i="6" s="1"/>
  <c r="F22" i="6"/>
  <c r="H22" i="6" s="1"/>
  <c r="F26" i="6"/>
  <c r="H26" i="6" s="1"/>
  <c r="F30" i="6"/>
  <c r="H30" i="6" s="1"/>
  <c r="F34" i="6"/>
  <c r="H34" i="6" s="1"/>
  <c r="F38" i="6"/>
  <c r="H38" i="6" s="1"/>
  <c r="F42" i="6"/>
  <c r="H42" i="6" s="1"/>
  <c r="F44" i="6"/>
  <c r="H44" i="6" s="1"/>
  <c r="F19" i="6"/>
  <c r="H19" i="6" s="1"/>
  <c r="F23" i="6"/>
  <c r="H23" i="6" s="1"/>
  <c r="F25" i="6"/>
  <c r="H25" i="6" s="1"/>
  <c r="F27" i="6"/>
  <c r="H27" i="6" s="1"/>
  <c r="F31" i="6"/>
  <c r="H31" i="6" s="1"/>
  <c r="F35" i="6"/>
  <c r="H35" i="6" s="1"/>
  <c r="F39" i="6"/>
  <c r="H39" i="6" s="1"/>
  <c r="F43" i="6"/>
  <c r="H43" i="6" s="1"/>
  <c r="F20" i="6"/>
  <c r="H20" i="6" s="1"/>
  <c r="F24" i="6"/>
  <c r="H24" i="6" s="1"/>
  <c r="F28" i="6"/>
  <c r="H28" i="6" s="1"/>
  <c r="F32" i="6"/>
  <c r="H32" i="6" s="1"/>
  <c r="F36" i="6"/>
  <c r="H36" i="6" s="1"/>
  <c r="F40" i="6"/>
  <c r="H40" i="6" s="1"/>
  <c r="I24" i="6"/>
  <c r="I25" i="6" s="1"/>
  <c r="I43" i="6"/>
  <c r="I44" i="6" s="1"/>
  <c r="J3" i="6"/>
  <c r="N3" i="6"/>
  <c r="R3" i="6"/>
  <c r="V3" i="6"/>
  <c r="Z3" i="6"/>
  <c r="AD3" i="6"/>
  <c r="E4" i="6"/>
  <c r="K4" i="6"/>
  <c r="O4" i="6"/>
  <c r="S4" i="6"/>
  <c r="W4" i="6"/>
  <c r="AA4" i="6"/>
  <c r="AE4" i="6"/>
  <c r="H4" i="6"/>
  <c r="M4" i="6"/>
  <c r="Q4" i="6"/>
  <c r="U4" i="6"/>
  <c r="Y4" i="6"/>
  <c r="AC4" i="6"/>
  <c r="AG4" i="6"/>
  <c r="F45" i="5"/>
  <c r="H45" i="5" s="1"/>
  <c r="F41" i="5"/>
  <c r="H41" i="5" s="1"/>
  <c r="F37" i="5"/>
  <c r="H37" i="5" s="1"/>
  <c r="F33" i="5"/>
  <c r="H33" i="5" s="1"/>
  <c r="F29" i="5"/>
  <c r="H29" i="5" s="1"/>
  <c r="F24" i="5"/>
  <c r="H24" i="5" s="1"/>
  <c r="F20" i="5"/>
  <c r="H20" i="5" s="1"/>
  <c r="F44" i="5"/>
  <c r="H44" i="5" s="1"/>
  <c r="F40" i="5"/>
  <c r="H40" i="5" s="1"/>
  <c r="F36" i="5"/>
  <c r="H36" i="5" s="1"/>
  <c r="F32" i="5"/>
  <c r="H32" i="5" s="1"/>
  <c r="F28" i="5"/>
  <c r="H28" i="5" s="1"/>
  <c r="F23" i="5"/>
  <c r="H23" i="5" s="1"/>
  <c r="F19" i="5"/>
  <c r="H19" i="5" s="1"/>
  <c r="F43" i="5"/>
  <c r="H43" i="5" s="1"/>
  <c r="F39" i="5"/>
  <c r="H39" i="5" s="1"/>
  <c r="F35" i="5"/>
  <c r="H35" i="5" s="1"/>
  <c r="F31" i="5"/>
  <c r="H31" i="5" s="1"/>
  <c r="F27" i="5"/>
  <c r="H27" i="5" s="1"/>
  <c r="F22" i="5"/>
  <c r="H22" i="5" s="1"/>
  <c r="F42" i="5"/>
  <c r="H42" i="5" s="1"/>
  <c r="F38" i="5"/>
  <c r="H38" i="5" s="1"/>
  <c r="F34" i="5"/>
  <c r="H34" i="5" s="1"/>
  <c r="F30" i="5"/>
  <c r="H30" i="5" s="1"/>
  <c r="F25" i="5"/>
  <c r="H25" i="5" s="1"/>
  <c r="F21" i="5"/>
  <c r="H21" i="5" s="1"/>
  <c r="AG4" i="5"/>
  <c r="AF3" i="5"/>
  <c r="AE3" i="5"/>
  <c r="N3" i="5"/>
  <c r="J3" i="5"/>
  <c r="M4" i="5"/>
  <c r="H4" i="5"/>
  <c r="L4" i="5"/>
  <c r="F4" i="5"/>
  <c r="K4" i="5"/>
  <c r="E3" i="5"/>
  <c r="AD15" i="1"/>
  <c r="AC15" i="1"/>
  <c r="AB15" i="1"/>
  <c r="AA15" i="1"/>
  <c r="Z15" i="1"/>
  <c r="Y15" i="1"/>
  <c r="X15" i="1"/>
  <c r="W15" i="1"/>
  <c r="V15" i="1"/>
  <c r="U15" i="1"/>
  <c r="T15" i="1"/>
  <c r="S15" i="1"/>
  <c r="R15" i="1"/>
  <c r="Q15" i="1"/>
  <c r="P15" i="1"/>
  <c r="O15" i="1"/>
  <c r="N15" i="1"/>
  <c r="M15" i="1"/>
  <c r="L15" i="1"/>
  <c r="K15" i="1"/>
  <c r="B15" i="1"/>
  <c r="D15" i="1"/>
  <c r="B12" i="1"/>
  <c r="D12" i="1"/>
  <c r="K12" i="1" s="1"/>
  <c r="B13" i="1"/>
  <c r="D13" i="1"/>
  <c r="B14" i="1"/>
  <c r="D14" i="1"/>
  <c r="M14" i="1" s="1"/>
  <c r="N12" i="1"/>
  <c r="R12" i="1"/>
  <c r="V12" i="1"/>
  <c r="Z12" i="1"/>
  <c r="K13" i="1"/>
  <c r="L13" i="1"/>
  <c r="M13" i="1"/>
  <c r="N13" i="1"/>
  <c r="O13" i="1"/>
  <c r="P13" i="1"/>
  <c r="Q13" i="1"/>
  <c r="R13" i="1"/>
  <c r="S13" i="1"/>
  <c r="T13" i="1"/>
  <c r="U13" i="1"/>
  <c r="V13" i="1"/>
  <c r="W13" i="1"/>
  <c r="X13" i="1"/>
  <c r="Y13" i="1"/>
  <c r="Z13" i="1"/>
  <c r="AA13" i="1"/>
  <c r="AB13" i="1"/>
  <c r="AC13" i="1"/>
  <c r="L14" i="1"/>
  <c r="P14" i="1"/>
  <c r="T14" i="1"/>
  <c r="X14" i="1"/>
  <c r="AB14" i="1"/>
  <c r="AD13" i="1"/>
  <c r="AD8" i="1"/>
  <c r="AD9" i="1"/>
  <c r="AD10" i="1"/>
  <c r="AD11" i="1"/>
  <c r="AD7" i="1"/>
  <c r="B11" i="1"/>
  <c r="D11" i="1"/>
  <c r="L11" i="1" s="1"/>
  <c r="B10" i="1"/>
  <c r="D10" i="1"/>
  <c r="AA10" i="1" s="1"/>
  <c r="D9" i="1"/>
  <c r="K9" i="1" s="1"/>
  <c r="D8" i="1"/>
  <c r="M8" i="1" s="1"/>
  <c r="D7" i="1"/>
  <c r="X7" i="1" s="1"/>
  <c r="B8" i="1"/>
  <c r="B9" i="1"/>
  <c r="B7" i="1"/>
  <c r="D1" i="1"/>
  <c r="B1" i="1"/>
  <c r="G2" i="1"/>
  <c r="AH15" i="1"/>
  <c r="AR15" i="1"/>
  <c r="AL15" i="1"/>
  <c r="AG14" i="1"/>
  <c r="AJ13" i="1"/>
  <c r="AQ12" i="1"/>
  <c r="AX7" i="1"/>
  <c r="AP13" i="1"/>
  <c r="AN13" i="1"/>
  <c r="AS13" i="1"/>
  <c r="AW13" i="1"/>
  <c r="AX15" i="1"/>
  <c r="AS15" i="1"/>
  <c r="AN15" i="1"/>
  <c r="AM15" i="1"/>
  <c r="AK15" i="1"/>
  <c r="AU13" i="1"/>
  <c r="AU12" i="1"/>
  <c r="AG13" i="1"/>
  <c r="AP15" i="1"/>
  <c r="AO15" i="1"/>
  <c r="AJ15" i="1"/>
  <c r="AI15" i="1"/>
  <c r="AF12" i="1"/>
  <c r="AT13" i="1"/>
  <c r="AI13" i="1"/>
  <c r="AK14" i="1"/>
  <c r="AR13" i="1"/>
  <c r="AI12" i="1"/>
  <c r="AU15" i="1"/>
  <c r="AG15" i="1"/>
  <c r="AV15" i="1"/>
  <c r="AF15" i="1"/>
  <c r="AT15" i="1"/>
  <c r="AH13" i="1"/>
  <c r="AX13" i="1"/>
  <c r="AM13" i="1"/>
  <c r="AF13" i="1"/>
  <c r="AV13" i="1"/>
  <c r="AM12" i="1"/>
  <c r="AK13" i="1"/>
  <c r="AS14" i="1"/>
  <c r="AX9" i="1"/>
  <c r="AW15" i="1"/>
  <c r="AQ15" i="1"/>
  <c r="AL13" i="1"/>
  <c r="AQ13" i="1"/>
  <c r="AH14" i="1"/>
  <c r="AO13" i="1"/>
  <c r="AX10" i="1"/>
  <c r="AW14" i="1"/>
  <c r="AO14" i="1"/>
  <c r="AX11" i="1"/>
  <c r="AX8" i="1"/>
  <c r="AY8" i="1" l="1"/>
  <c r="AY11" i="1"/>
  <c r="AY10" i="1"/>
  <c r="AY9" i="1"/>
  <c r="AY7" i="1"/>
  <c r="J24" i="6"/>
  <c r="J25" i="6" s="1"/>
  <c r="J44" i="5"/>
  <c r="J45" i="5" s="1"/>
  <c r="AI4" i="6"/>
  <c r="AJ4" i="6" s="1"/>
  <c r="J43" i="6"/>
  <c r="J44" i="6" s="1"/>
  <c r="J24" i="5"/>
  <c r="J25" i="5" s="1"/>
  <c r="AI4" i="5"/>
  <c r="AJ4" i="5" s="1"/>
  <c r="BE15" i="1"/>
  <c r="BF15" i="1"/>
  <c r="BT15" i="1"/>
  <c r="BC15" i="1"/>
  <c r="BG15" i="1"/>
  <c r="BN15" i="1"/>
  <c r="AZ15" i="1"/>
  <c r="BD15" i="1"/>
  <c r="BI15" i="1"/>
  <c r="BP15" i="1"/>
  <c r="BV15" i="1"/>
  <c r="BJ15" i="1"/>
  <c r="BR15" i="1"/>
  <c r="BW15" i="1"/>
  <c r="BA15" i="1"/>
  <c r="BL15" i="1"/>
  <c r="AY15" i="1"/>
  <c r="BB15" i="1"/>
  <c r="BU15" i="1"/>
  <c r="W14" i="1"/>
  <c r="O14" i="1"/>
  <c r="K14" i="1"/>
  <c r="Z14" i="1"/>
  <c r="V14" i="1"/>
  <c r="R14" i="1"/>
  <c r="N14" i="1"/>
  <c r="AB12" i="1"/>
  <c r="X12" i="1"/>
  <c r="T12" i="1"/>
  <c r="P12" i="1"/>
  <c r="L12" i="1"/>
  <c r="AA14" i="1"/>
  <c r="S14" i="1"/>
  <c r="AC12" i="1"/>
  <c r="Y12" i="1"/>
  <c r="U12" i="1"/>
  <c r="Q12" i="1"/>
  <c r="M12" i="1"/>
  <c r="AC14" i="1"/>
  <c r="Y14" i="1"/>
  <c r="U14" i="1"/>
  <c r="Q14" i="1"/>
  <c r="AA12" i="1"/>
  <c r="W12" i="1"/>
  <c r="S12" i="1"/>
  <c r="O12" i="1"/>
  <c r="BR14" i="1"/>
  <c r="BW13" i="1"/>
  <c r="BR13" i="1"/>
  <c r="BJ13" i="1"/>
  <c r="BE13" i="1"/>
  <c r="BA13" i="1"/>
  <c r="BU12" i="1"/>
  <c r="BN12" i="1"/>
  <c r="BG12" i="1"/>
  <c r="BC12" i="1"/>
  <c r="BJ14" i="1"/>
  <c r="BB14" i="1"/>
  <c r="BV13" i="1"/>
  <c r="BP13" i="1"/>
  <c r="BI13" i="1"/>
  <c r="BD13" i="1"/>
  <c r="AZ13" i="1"/>
  <c r="BE14" i="1"/>
  <c r="BU13" i="1"/>
  <c r="BN13" i="1"/>
  <c r="BG13" i="1"/>
  <c r="BC13" i="1"/>
  <c r="BW14" i="1"/>
  <c r="BA14" i="1"/>
  <c r="AY13" i="1"/>
  <c r="BT13" i="1"/>
  <c r="BL13" i="1"/>
  <c r="BF13" i="1"/>
  <c r="BB13" i="1"/>
  <c r="AZ12" i="1"/>
  <c r="R7" i="1"/>
  <c r="N7" i="1"/>
  <c r="AA7" i="1"/>
  <c r="W7" i="1"/>
  <c r="AA11" i="1"/>
  <c r="W11" i="1"/>
  <c r="S11" i="1"/>
  <c r="O11" i="1"/>
  <c r="K11" i="1"/>
  <c r="X10" i="1"/>
  <c r="T10" i="1"/>
  <c r="P10" i="1"/>
  <c r="L10" i="1"/>
  <c r="Z9" i="1"/>
  <c r="V9" i="1"/>
  <c r="R9" i="1"/>
  <c r="N9" i="1"/>
  <c r="AB8" i="1"/>
  <c r="X8" i="1"/>
  <c r="T8" i="1"/>
  <c r="P8" i="1"/>
  <c r="L8" i="1"/>
  <c r="AC9" i="1"/>
  <c r="K7" i="1"/>
  <c r="Q7" i="1"/>
  <c r="M7" i="1"/>
  <c r="Z7" i="1"/>
  <c r="V7" i="1"/>
  <c r="Z11" i="1"/>
  <c r="V11" i="1"/>
  <c r="R11" i="1"/>
  <c r="N11" i="1"/>
  <c r="AB10" i="1"/>
  <c r="W10" i="1"/>
  <c r="S10" i="1"/>
  <c r="O10" i="1"/>
  <c r="K10" i="1"/>
  <c r="Y9" i="1"/>
  <c r="U9" i="1"/>
  <c r="Q9" i="1"/>
  <c r="M9" i="1"/>
  <c r="AA8" i="1"/>
  <c r="W8" i="1"/>
  <c r="S8" i="1"/>
  <c r="O8" i="1"/>
  <c r="K8" i="1"/>
  <c r="AC8" i="1"/>
  <c r="T7" i="1"/>
  <c r="P7" i="1"/>
  <c r="L7" i="1"/>
  <c r="Y7" i="1"/>
  <c r="U7" i="1"/>
  <c r="Y11" i="1"/>
  <c r="U11" i="1"/>
  <c r="Q11" i="1"/>
  <c r="M11" i="1"/>
  <c r="Z10" i="1"/>
  <c r="V10" i="1"/>
  <c r="R10" i="1"/>
  <c r="N10" i="1"/>
  <c r="AB9" i="1"/>
  <c r="X9" i="1"/>
  <c r="T9" i="1"/>
  <c r="P9" i="1"/>
  <c r="L9" i="1"/>
  <c r="Z8" i="1"/>
  <c r="V8" i="1"/>
  <c r="R8" i="1"/>
  <c r="N8" i="1"/>
  <c r="AC11" i="1"/>
  <c r="AC7" i="1"/>
  <c r="S7" i="1"/>
  <c r="O7" i="1"/>
  <c r="AB7" i="1"/>
  <c r="AB11" i="1"/>
  <c r="X11" i="1"/>
  <c r="T11" i="1"/>
  <c r="P11" i="1"/>
  <c r="Y10" i="1"/>
  <c r="U10" i="1"/>
  <c r="Q10" i="1"/>
  <c r="M10" i="1"/>
  <c r="AA9" i="1"/>
  <c r="W9" i="1"/>
  <c r="S9" i="1"/>
  <c r="O9" i="1"/>
  <c r="Y8" i="1"/>
  <c r="U8" i="1"/>
  <c r="Q8" i="1"/>
  <c r="AC10" i="1"/>
  <c r="BH17" i="1"/>
  <c r="BG17" i="1"/>
  <c r="A2" i="1"/>
  <c r="AM14" i="1"/>
  <c r="AJ12" i="1"/>
  <c r="AS12" i="1"/>
  <c r="AO12" i="1"/>
  <c r="AU14" i="1"/>
  <c r="AP12" i="1"/>
  <c r="AH12" i="1"/>
  <c r="AN12" i="1"/>
  <c r="AW12" i="1"/>
  <c r="AR12" i="1"/>
  <c r="AN14" i="1"/>
  <c r="AV12" i="1"/>
  <c r="AJ14" i="1"/>
  <c r="AL12" i="1"/>
  <c r="AI14" i="1"/>
  <c r="AL14" i="1"/>
  <c r="AG12" i="1"/>
  <c r="AQ14" i="1"/>
  <c r="AG7" i="1"/>
  <c r="AR14" i="1"/>
  <c r="AP14" i="1"/>
  <c r="AK12" i="1"/>
  <c r="AT12" i="1"/>
  <c r="AV14" i="1"/>
  <c r="AX12" i="1"/>
  <c r="AX14" i="1"/>
  <c r="AF14" i="1"/>
  <c r="AT14" i="1"/>
  <c r="BT14" i="1" l="1"/>
  <c r="BL12" i="1"/>
  <c r="BR12" i="1"/>
  <c r="BN14" i="1"/>
  <c r="BV12" i="1"/>
  <c r="AY14" i="1"/>
  <c r="BT12" i="1"/>
  <c r="BA12" i="1"/>
  <c r="BW12" i="1"/>
  <c r="BU14" i="1"/>
  <c r="BD12" i="1"/>
  <c r="BF14" i="1"/>
  <c r="BB12" i="1"/>
  <c r="AY12" i="1"/>
  <c r="BE12" i="1"/>
  <c r="BC14" i="1"/>
  <c r="AZ14" i="1"/>
  <c r="BI12" i="1"/>
  <c r="BL14" i="1"/>
  <c r="BF12" i="1"/>
  <c r="BI14" i="1"/>
  <c r="BJ12" i="1"/>
  <c r="BG14" i="1"/>
  <c r="BD14" i="1"/>
  <c r="BP12" i="1"/>
  <c r="BV14" i="1"/>
  <c r="BP14" i="1"/>
  <c r="AD14" i="1"/>
  <c r="AD12" i="1"/>
  <c r="AW8" i="1"/>
  <c r="AL9" i="1"/>
  <c r="AO10" i="1"/>
  <c r="AJ7" i="1"/>
  <c r="AH10" i="1"/>
  <c r="AF8" i="1"/>
  <c r="AN8" i="1"/>
  <c r="AT8" i="1"/>
  <c r="AH7" i="1"/>
  <c r="AG8" i="1"/>
  <c r="AM9" i="1"/>
  <c r="AQ11" i="1"/>
  <c r="AS9" i="1"/>
  <c r="AL10" i="1"/>
  <c r="AN10" i="1"/>
  <c r="AR9" i="1"/>
  <c r="AF9" i="1"/>
  <c r="AS10" i="1"/>
  <c r="AL11" i="1"/>
  <c r="AG10" i="1"/>
  <c r="AP8" i="1"/>
  <c r="AP10" i="1"/>
  <c r="AI7" i="1"/>
  <c r="AI9" i="1"/>
  <c r="AN7" i="1"/>
  <c r="AP11" i="1"/>
  <c r="AV8" i="1"/>
  <c r="AU11" i="1"/>
  <c r="AM8" i="1"/>
  <c r="AO8" i="1"/>
  <c r="AI11" i="1"/>
  <c r="AM7" i="1"/>
  <c r="AF7" i="1"/>
  <c r="AM11" i="1"/>
  <c r="AR10" i="1"/>
  <c r="AJ9" i="1"/>
  <c r="AI8" i="1"/>
  <c r="AI10" i="1"/>
  <c r="AR7" i="1"/>
  <c r="AG9" i="1"/>
  <c r="AH11" i="1"/>
  <c r="AV10" i="1"/>
  <c r="AJ8" i="1"/>
  <c r="AF11" i="1"/>
  <c r="AW9" i="1"/>
  <c r="AW11" i="1"/>
  <c r="AQ8" i="1"/>
  <c r="AN11" i="1"/>
  <c r="AT9" i="1"/>
  <c r="AL8" i="1"/>
  <c r="AJ11" i="1"/>
  <c r="AK9" i="1"/>
  <c r="AK7" i="1"/>
  <c r="AF10" i="1"/>
  <c r="AU8" i="1"/>
  <c r="AS11" i="1"/>
  <c r="AT7" i="1"/>
  <c r="AU9" i="1"/>
  <c r="AJ10" i="1"/>
  <c r="AR8" i="1"/>
  <c r="AR11" i="1"/>
  <c r="AT11" i="1"/>
  <c r="AQ10" i="1"/>
  <c r="AK8" i="1"/>
  <c r="AV7" i="1"/>
  <c r="AQ7" i="1"/>
  <c r="AK11" i="1"/>
  <c r="AH9" i="1"/>
  <c r="AV11" i="1"/>
  <c r="AU10" i="1"/>
  <c r="AW7" i="1"/>
  <c r="AS7" i="1"/>
  <c r="AT10" i="1"/>
  <c r="AW10" i="1"/>
  <c r="AU7" i="1"/>
  <c r="AG11" i="1"/>
  <c r="AP9" i="1"/>
  <c r="AK10" i="1"/>
  <c r="AO7" i="1"/>
  <c r="AO9" i="1"/>
  <c r="AO11" i="1"/>
  <c r="AQ9" i="1"/>
  <c r="AH8" i="1"/>
  <c r="AM10" i="1"/>
  <c r="AL7" i="1"/>
  <c r="AS8" i="1"/>
  <c r="AP7" i="1"/>
  <c r="AN9" i="1"/>
  <c r="AV9" i="1"/>
  <c r="AZ7" i="1" l="1"/>
  <c r="BE7" i="1"/>
  <c r="BV9" i="1"/>
  <c r="BJ8" i="1"/>
  <c r="BB11" i="1"/>
  <c r="BP7" i="1"/>
  <c r="BG7" i="1"/>
  <c r="BB7" i="1"/>
  <c r="BJ9" i="1"/>
  <c r="AZ9" i="1"/>
  <c r="BN11" i="1"/>
  <c r="BN7" i="1"/>
  <c r="BG10" i="1"/>
  <c r="BC7" i="1"/>
  <c r="BR7" i="1"/>
  <c r="BN8" i="1"/>
  <c r="BP11" i="1"/>
  <c r="BB8" i="1"/>
  <c r="BR10" i="1"/>
  <c r="BF7" i="1"/>
  <c r="BI7" i="1"/>
  <c r="BD7" i="1"/>
  <c r="BL7" i="1"/>
  <c r="BJ7" i="1"/>
  <c r="BE11" i="1"/>
  <c r="BT10" i="1"/>
  <c r="BN9" i="1"/>
  <c r="BV7" i="1"/>
  <c r="BU7" i="1"/>
  <c r="BT7" i="1"/>
  <c r="BW7" i="1"/>
  <c r="BA7" i="1"/>
  <c r="BW11" i="1"/>
  <c r="BA11" i="1"/>
  <c r="BC10" i="1"/>
  <c r="BE9" i="1"/>
  <c r="BG8" i="1"/>
  <c r="BI11" i="1"/>
  <c r="BL10" i="1"/>
  <c r="BP9" i="1"/>
  <c r="BT8" i="1"/>
  <c r="BG11" i="1"/>
  <c r="BJ10" i="1"/>
  <c r="BG9" i="1"/>
  <c r="BE8" i="1"/>
  <c r="BD10" i="1"/>
  <c r="BR11" i="1"/>
  <c r="BU10" i="1"/>
  <c r="BW9" i="1"/>
  <c r="BA9" i="1"/>
  <c r="BC8" i="1"/>
  <c r="BD11" i="1"/>
  <c r="BF10" i="1"/>
  <c r="BI9" i="1"/>
  <c r="BL8" i="1"/>
  <c r="BC11" i="1"/>
  <c r="BE10" i="1"/>
  <c r="BC9" i="1"/>
  <c r="BF9" i="1"/>
  <c r="BJ11" i="1"/>
  <c r="BN10" i="1"/>
  <c r="BR9" i="1"/>
  <c r="BU8" i="1"/>
  <c r="BV11" i="1"/>
  <c r="AZ11" i="1"/>
  <c r="BB10" i="1"/>
  <c r="BD9" i="1"/>
  <c r="BF8" i="1"/>
  <c r="BU11" i="1"/>
  <c r="BW10" i="1"/>
  <c r="BA10" i="1"/>
  <c r="BR8" i="1"/>
  <c r="BI8" i="1"/>
  <c r="BU9" i="1"/>
  <c r="BW8" i="1"/>
  <c r="BA8" i="1"/>
  <c r="BT11" i="1"/>
  <c r="BV10" i="1"/>
  <c r="AZ10" i="1"/>
  <c r="BB9" i="1"/>
  <c r="BD8" i="1"/>
  <c r="BL11" i="1"/>
  <c r="BP10" i="1"/>
  <c r="BT9" i="1"/>
  <c r="BV8" i="1"/>
  <c r="AZ8" i="1"/>
  <c r="BF11" i="1"/>
  <c r="BI10" i="1"/>
  <c r="BL9" i="1"/>
  <c r="BP8" i="1"/>
</calcChain>
</file>

<file path=xl/comments1.xml><?xml version="1.0" encoding="utf-8"?>
<comments xmlns="http://schemas.openxmlformats.org/spreadsheetml/2006/main">
  <authors>
    <author>Vincent CRUVELLIER</author>
  </authors>
  <commentList>
    <comment ref="A1" authorId="0">
      <text>
        <r>
          <rPr>
            <b/>
            <sz val="9"/>
            <color indexed="81"/>
            <rFont val="Tahoma"/>
            <charset val="1"/>
          </rPr>
          <t>Vincent CRUVELLIER:</t>
        </r>
        <r>
          <rPr>
            <sz val="9"/>
            <color indexed="81"/>
            <rFont val="Tahoma"/>
            <charset val="1"/>
          </rPr>
          <t xml:space="preserve">
Row: 2
Hex: 400407200000006040040720009234018C0000700708008000608C
Binary:
01000000 00000100 00000111 00100000
00000000 00000000 00000000 01100000
01000000 00000100 00000111 00100000
00000000 10010010 00110100 00000001
10001100 00000000 00000000 01110000
00000111 00001000 00000000 10000000
00000000 01100000 10001100 </t>
        </r>
      </text>
    </comment>
    <comment ref="A7" authorId="0">
      <text>
        <r>
          <rPr>
            <b/>
            <sz val="9"/>
            <color indexed="81"/>
            <rFont val="Tahoma"/>
            <charset val="1"/>
          </rPr>
          <t>Vincent CRUVELLIER:</t>
        </r>
        <r>
          <rPr>
            <sz val="9"/>
            <color indexed="81"/>
            <rFont val="Tahoma"/>
            <charset val="1"/>
          </rPr>
          <t xml:space="preserve">
Row: 2
Hex: 400407200000006040040720009234018C0000700708008000608C
Binary:
01000000 00000100 00000111 00100000
00000000 00000000 00000000 01100000
01000000 00000100 00000111 00100000
00000000 10010010 00110100 00000001
10001100 00000000 00000000 01110000
00000111 00001000 00000000 10000000
00000000 01100000 10001100 </t>
        </r>
      </text>
    </comment>
    <comment ref="A8" authorId="0">
      <text>
        <r>
          <rPr>
            <b/>
            <sz val="9"/>
            <color indexed="81"/>
            <rFont val="Tahoma"/>
            <charset val="1"/>
          </rPr>
          <t>Vincent CRUVELLIER:</t>
        </r>
        <r>
          <rPr>
            <sz val="9"/>
            <color indexed="81"/>
            <rFont val="Tahoma"/>
            <charset val="1"/>
          </rPr>
          <t xml:space="preserve">
Row: 4
Hex: 400407200000006040040720009234018C0000700708008000608C
Binary:
01000000 00000100 00000111 00100000
00000000 00000000 00000000 01100000
01000000 00000100 00000111 00100000
00000000 10010010 00110100 00000001
10001100 00000000 00000000 01110000
00000111 00001000 00000000 10000000
00000000 01100000 10001100 </t>
        </r>
      </text>
    </comment>
    <comment ref="A9" authorId="0">
      <text>
        <r>
          <rPr>
            <b/>
            <sz val="9"/>
            <color indexed="81"/>
            <rFont val="Tahoma"/>
            <family val="2"/>
          </rPr>
          <t>Vincent CRUVELLIER:</t>
        </r>
        <r>
          <rPr>
            <sz val="9"/>
            <color indexed="81"/>
            <rFont val="Tahoma"/>
            <family val="2"/>
          </rPr>
          <t xml:space="preserve">
Row: 1
Hex: 400407200000006040040720001274018C0000700708008000604C
Binary:
01000000 00000100 00000111 00100000
00000000 00000000 00000000 01100000
01000000 00000100 00000111 00100000
00000000 00010010 01110100 00000001
10001100 00000000 00000000 01110000
00000111 00001000 00000000 10000000
00000000 01100000 01001100 
</t>
        </r>
      </text>
    </comment>
    <comment ref="A10" authorId="0">
      <text>
        <r>
          <rPr>
            <b/>
            <sz val="9"/>
            <color indexed="81"/>
            <rFont val="Tahoma"/>
            <family val="2"/>
          </rPr>
          <t>Vincent CRUVELLIER:</t>
        </r>
        <r>
          <rPr>
            <sz val="9"/>
            <color indexed="81"/>
            <rFont val="Tahoma"/>
            <family val="2"/>
          </rPr>
          <t xml:space="preserve">
Row: 1
Hex: 40040720000000604004072000120C018C0000700708008000602C
Binary:
01000000 00000100 00000111 00100000
00000000 00000000 00000000 01100000
01000000 00000100 00000111 00100000
00000000 00010010 00001100 00000001
10001100 00000000 00000000 01110000
00000111 00001000 00000000 10000000
00000000 01100000 00101100 
</t>
        </r>
      </text>
    </comment>
    <comment ref="A11" authorId="0">
      <text>
        <r>
          <rPr>
            <b/>
            <sz val="9"/>
            <color indexed="81"/>
            <rFont val="Tahoma"/>
            <family val="2"/>
          </rPr>
          <t>Vincent CRUVELLIER:</t>
        </r>
        <r>
          <rPr>
            <sz val="9"/>
            <color indexed="81"/>
            <rFont val="Tahoma"/>
            <family val="2"/>
          </rPr>
          <t xml:space="preserve">
Row: 1
Hex: 400407200000006040040720001274018C0000700708008000604C
Binary:
01000000 00000100 00000111 00100000
00000000 00000000 00000000 01100000
01000000 00000100 00000111 00100000
00000000 00010010 01110100 00000001
10001100 00000000 00000000 01110000
00000111 00001000 00000000 10000000
00000000 01100000 01001100 </t>
        </r>
      </text>
    </comment>
    <comment ref="A12" authorId="0">
      <text>
        <r>
          <rPr>
            <b/>
            <sz val="9"/>
            <color indexed="81"/>
            <rFont val="Tahoma"/>
            <charset val="1"/>
          </rPr>
          <t>Vincent CRUVELLIER:</t>
        </r>
        <r>
          <rPr>
            <sz val="9"/>
            <color indexed="81"/>
            <rFont val="Tahoma"/>
            <charset val="1"/>
          </rPr>
          <t xml:space="preserve">
Row: 1
Hex: 400407200000006040040720001274018C0000700708008000604C
Binary:
01000000 00000100 00000111 00100000
00000000 00000000 00000000 01100000
01000000 00000100 00000111 00100000
00000000 00010010 01110100 00000001
10001100 00000000 00000000 01110000
00000111 00001000 00000000 10000000
00000000 01100000 01001100 </t>
        </r>
      </text>
    </comment>
    <comment ref="A13" authorId="0">
      <text>
        <r>
          <rPr>
            <b/>
            <sz val="9"/>
            <color indexed="81"/>
            <rFont val="Tahoma"/>
            <charset val="1"/>
          </rPr>
          <t>Vincent CRUVELLIER:</t>
        </r>
        <r>
          <rPr>
            <sz val="9"/>
            <color indexed="81"/>
            <rFont val="Tahoma"/>
            <charset val="1"/>
          </rPr>
          <t xml:space="preserve">
Row: 1
Hex: 400407200000006040040720001234018C0000700708008000600C
Binary:
01000000 00000100 00000111 00100000
00000000 00000000 00000000 01100000
01000000 00000100 00000111 00100000
00000000 00010010 00110100 00000001
10001100 00000000 00000000 01110000
00000111 00001000 00000000 10000000
00000000 01100000 00001100 </t>
        </r>
      </text>
    </comment>
    <comment ref="A14" authorId="0">
      <text>
        <r>
          <rPr>
            <b/>
            <sz val="9"/>
            <color indexed="81"/>
            <rFont val="Tahoma"/>
            <charset val="1"/>
          </rPr>
          <t>Vincent CRUVELLIER:</t>
        </r>
        <r>
          <rPr>
            <sz val="9"/>
            <color indexed="81"/>
            <rFont val="Tahoma"/>
            <charset val="1"/>
          </rPr>
          <t xml:space="preserve">
Row: 1
Hex: 400407200000006040040720001254018C00007007080080006074
Binary:
01000000 00000100 00000111 00100000
00000000 00000000 00000000 01100000
01000000 00000100 00000111 00100000
00000000 00010010 01010100 00000001
10001100 00000000 00000000 01110000
00000111 00001000 00000000 10000000
00000000 01100000 01110100 </t>
        </r>
      </text>
    </comment>
    <comment ref="A15" authorId="0">
      <text>
        <r>
          <rPr>
            <b/>
            <sz val="9"/>
            <color indexed="81"/>
            <rFont val="Tahoma"/>
            <charset val="1"/>
          </rPr>
          <t>Vincent CRUVELLIER:</t>
        </r>
        <r>
          <rPr>
            <sz val="9"/>
            <color indexed="81"/>
            <rFont val="Tahoma"/>
            <charset val="1"/>
          </rPr>
          <t xml:space="preserve">
Row: 1
Hex: 400407200000006040040720009254018C000070070800800060F4
Binary:
01000000 00000100 00000111 00100000
00000000 00000000 00000000 01100000
01000000 00000100 00000111 00100000
00000000 10010010 01010100 00000001
10001100 00000000 00000000 01110000
00000111 00001000 00000000 10000000
00000000 01100000 11110100 </t>
        </r>
      </text>
    </comment>
  </commentList>
</comments>
</file>

<file path=xl/comments2.xml><?xml version="1.0" encoding="utf-8"?>
<comments xmlns="http://schemas.openxmlformats.org/spreadsheetml/2006/main">
  <authors>
    <author>Vincent CRUVELLIER</author>
  </authors>
  <commentList>
    <comment ref="C2" authorId="0">
      <text>
        <r>
          <rPr>
            <b/>
            <sz val="9"/>
            <color indexed="81"/>
            <rFont val="Tahoma"/>
            <charset val="1"/>
          </rPr>
          <t>Vincent CRUVELLIER:</t>
        </r>
        <r>
          <rPr>
            <sz val="9"/>
            <color indexed="81"/>
            <rFont val="Tahoma"/>
            <charset val="1"/>
          </rPr>
          <t xml:space="preserve">
Row: 2
Hex: 400407200000006040040720009234018C0000700708008000608C
Binary:
01000000 00000100 00000111 00100000
00000000 00000000 00000000 01100000
01000000 00000100 00000111 00100000
00000000 10010010 00110100 00000001
10001100 00000000 00000000 01110000
00000111 00001000 00000000 10000000
00000000 01100000 10001100 </t>
        </r>
      </text>
    </comment>
  </commentList>
</comments>
</file>

<file path=xl/comments3.xml><?xml version="1.0" encoding="utf-8"?>
<comments xmlns="http://schemas.openxmlformats.org/spreadsheetml/2006/main">
  <authors>
    <author>Vincent CRUVELLIER</author>
  </authors>
  <commentList>
    <comment ref="C2" authorId="0">
      <text>
        <r>
          <rPr>
            <b/>
            <sz val="9"/>
            <color indexed="81"/>
            <rFont val="Tahoma"/>
            <charset val="1"/>
          </rPr>
          <t>Vincent CRUVELLIER:</t>
        </r>
        <r>
          <rPr>
            <sz val="9"/>
            <color indexed="81"/>
            <rFont val="Tahoma"/>
            <charset val="1"/>
          </rPr>
          <t xml:space="preserve">
Row: 2
Hex: 400407200000006040040720009234018C0000700708008000608C
Binary:
01000000 00000100 00000111 00100000
00000000 00000000 00000000 01100000
01000000 00000100 00000111 00100000
00000000 10010010 00110100 00000001
10001100 00000000 00000000 01110000
00000111 00001000 00000000 10000000
00000000 01100000 10001100 </t>
        </r>
      </text>
    </comment>
  </commentList>
</comments>
</file>

<file path=xl/sharedStrings.xml><?xml version="1.0" encoding="utf-8"?>
<sst xmlns="http://schemas.openxmlformats.org/spreadsheetml/2006/main" count="237" uniqueCount="91">
  <si>
    <t>ON</t>
  </si>
  <si>
    <t>ETAT</t>
  </si>
  <si>
    <t>TEMP</t>
  </si>
  <si>
    <t>/*</t>
  </si>
  <si>
    <t>Automatically Generated by AnalysIR - Batch Export Utility</t>
  </si>
  <si>
    <t>Registered to: Vincent.Cruvellier@free.fr</t>
  </si>
  <si>
    <t>Session History</t>
  </si>
  <si>
    <t>Type : Key : Value : Bits</t>
  </si>
  <si>
    <t>0 : MITSUBISHI288AC :  : C4D36480000010A00CA2CA00000000000057C4D36480000010A00CA2CA00000000000057 : 288</t>
  </si>
  <si>
    <t>1 : MITSUBISHI288AC :  : C4D36480000410A00CA2CA00000000000050C4D36480000410A00CA2CA00000000000050 : 288</t>
  </si>
  <si>
    <t>2 : MITSUBISHI288AC :  : C4D36480000410200CA2CA00000000000090C4D36480000410200CA2CA00000000000090 : 288</t>
  </si>
  <si>
    <t>3 : MITSUBISHI288AC :  : C4D36480000410C00CA2CA00000000000010C4D36480000410C00CA2CA00000000000010 : 288</t>
  </si>
  <si>
    <t>*/</t>
  </si>
  <si>
    <t>// NB: Not all protocols are supported by IRremote or IRLib. You may need to edit the code below manually</t>
  </si>
  <si>
    <t>// Automatically Generated by AnalysIR for Vincent.Cruvellier@free.fr, visit http://www.AnalysIR.com or email info@....... for further details</t>
  </si>
  <si>
    <t>int khz=38; //NB Change this default value as neccessary to the correct modulation frequency</t>
  </si>
  <si>
    <t>irsend.sendRaw(Signal_0_0, sizeof(Signal_0_0)/sizeof(int), khz); //AnalysIR Batch Export - RAW</t>
  </si>
  <si>
    <t xml:space="preserve"> // AnalysIR IR Protocol: MITSUBISHI288AC, Key:  </t>
  </si>
  <si>
    <t>irsend.sendRaw(Signal_1_1, sizeof(Signal_1_1)/sizeof(int), khz); //AnalysIR Batch Export - RAW</t>
  </si>
  <si>
    <t>irsend.sendRaw(Signal_2_2, sizeof(Signal_2_2)/sizeof(int), khz); //AnalysIR Batch Export - RAW</t>
  </si>
  <si>
    <t>OFF</t>
  </si>
  <si>
    <t>Bin 1</t>
  </si>
  <si>
    <t>Bin 2</t>
  </si>
  <si>
    <t>Bin 3</t>
  </si>
  <si>
    <t>Bin 4</t>
  </si>
  <si>
    <t>Bin 5</t>
  </si>
  <si>
    <t>Bin 6</t>
  </si>
  <si>
    <t>Bin 7</t>
  </si>
  <si>
    <t>Bin 8</t>
  </si>
  <si>
    <t>Bin 9</t>
  </si>
  <si>
    <t>Bin 10</t>
  </si>
  <si>
    <t>Bin 11</t>
  </si>
  <si>
    <t>Bin 12</t>
  </si>
  <si>
    <t>Bin 13</t>
  </si>
  <si>
    <t>Bin 14</t>
  </si>
  <si>
    <t>Bin 15</t>
  </si>
  <si>
    <t>Bin 16</t>
  </si>
  <si>
    <t>Bin 17</t>
  </si>
  <si>
    <t>Bin 18</t>
  </si>
  <si>
    <t>00000000</t>
  </si>
  <si>
    <t>0 : RAW :  :  : 0</t>
  </si>
  <si>
    <t>1 : MITSUBISHI288AC :  : C4D36480000010A00CA22A000000000000D7C4D36480000010A00CA22A000000000000D7 : 288</t>
  </si>
  <si>
    <t>2 : MITSUBISHI288AC :  : C4D36480000410A00CA22A000000000000D0C4D36480000410A00CA22A000000000000D0 : 288</t>
  </si>
  <si>
    <t>unsigned int Signal_0_0[] = {168}; //AnalysIR Batch Export - RAW</t>
  </si>
  <si>
    <t xml:space="preserve"> // AnalysIR IR Protocol: RAW, Key:  </t>
  </si>
  <si>
    <t>unsigned int Signal_1_1[] = {3444,1728,448,1276,412,1320,476,388,452,412,416,460,412,1316,416,456,452,416,412,1320,412,1316,440,436,448,1272,440,440,416,456,452,1276,480,1248,452,420,452,1268,440,1292,440,432,452,416,412,1316,444,424,412,456,412,1316,416,460,448,420,452,412,412,464,452,412,412,456,452,416,416,460,412,456,412,460,452,412,412,460,448,416,448,420,412,456,452,412,452,416,452,416,452,416,412,456,452,416,412,460,412,456,452,416,452,416,452,416,452,1272,444,420,412,456,456,412,452,416,448,1272,448,424,452,1272,412,460,452,416,476,404,452,416,412,468,452,412,452,416,452,420,452,416,452,1268,416,1316,480,392,452,412,452,1276,444,428,452,1272,412,456,412,460,412,460,452,1276,440,436,452,412,464,412,432,1300,448,436,452,1268,448,420,452,1276,452,420,452,412,464,412,432,440,412,456,412,460,412,456,456,412,416,456,452,412,452,416,452,416,452,416,412,456,452,412,416,460,412,456,452,416,448,420,448,420,448,420,452,416,448,416,452,420,452,416,452,416,412,460,452,412,416,456,452,416,452,412,452,416,452,416,452,412,452,416,452,416,452,416,452,424,412,460,452,412,412,456,452,416,452,416,452,420,412,456,416,452,416,456,452,412,452,420,452,1272,444,1284,440,432,412,1316,416,452,412,1312,416,1316,416,1320,436,16383,3560,1744,464,1264,480,1248,448,420,412,460,452,412,412,1316,480,392,452,416,452,1276,448,1276,448,420,452,1280,448,424,452,412,416,1316,448,1276,444,428,412,1316,480,1244,480,388,412,460,412,1316,412,460,452,416,452,1268,440,428,452,416,452,420,452,420,452,416,412,456,448,420,448,420,452,416,452,416,452,416,416,456,452,416,416,460,452,416,412,452,452,420,448,420,452,412,456,416,452,416,448,420,452,416,448,416,412,456,412,460,432,1300,444,424,412,460,452,416,412,456,452,1272,456,416,412,1316,440,428,412,460,452,412,452,416,412,468,452,412,452,416,452,420,452,416,452,1272,436,1300,412,460,452,420,448,1272,480,392,448,1272,448,420,452,416,416,460,472,1264,452,420,452,412,452,416,448,1276,444,428,452,1272,480,388,452,1272,440,436,452,416,452,416,452,416,452,416,452,416,452,412,452,416,452,416,452,416,412,460,452,412,416,460,452,424,412,460,452,416,412,456,476,404,452,416,452,412,412,460,416,456,452,412,452,420,452,412,452,416,412,456,416,456,412,456,416,456,412,464,412,456,452,420,452,416,452,412,452,420,412,460,452,412,452,416,448,428,452,416,452,420,452,412,452,416,452,420,412,456,412,456,416,460,452,420,452,1272,436,1288,416,456,412,1316,412,460,412,1316,440,1284,416,1332,448}; //AnalysIR Batch Export - RAW</t>
  </si>
  <si>
    <t>unsigned int Signal_2_2[] = {3424,1744,440,1288,412,1320,480,388,452,416,452,412,412,1316,440,432,452,416,412,1312,480,1244,472,404,412,1316,444,424,412,456,412,1316,416,1312,448,424,412,1312,480,1244,416,456,452,416,412,1316,452,416,452,420,452,1272,436,432,416,452,412,456,412,460,412,456,452,416,452,416,452,412,436,440,436,440,412,456,412,456,412,460,452,416,412,456,452,412,452,416,412,456,452,416,412,456,452,1272,440,428,412,456,452,416,476,408,432,440,412,1312,412,460,452,420,412,460,452,416,452,1272,416,452,416,1312,440,428,452,412,416,452,452,416,452,416,452,416,452,412,452,416,452,416,452,1272,412,1312,416,460,448,416,452,1272,416,452,452,1280,408,456,416,464,412,460,452,1272,416,456,452,416,452,416,452,1272,412,460,452,1268,416,456,416,1324,440,428,452,416,416,452,452,416,412,460,412,456,412,456,412,456,452,420,416,456,412,456,452,412,452,416,416,456,452,416,452,416,452,416,412,456,452,416,452,416,412,456,412,464,416,456,452,416,412,456,412,456,452,416,452,420,448,416,412,460,412,460,452,412,452,416,452,416,452,416,416,452,452,416,452,412,452,416,452,424,412,456,452,420,412,456,448,416,412,460,412,456,416,456,412,460,452,420,412,1312,416,1312,416,460,412,1316,412,456,452,416,448,416,412,460,452,16383,3556,1748,480,1248,444,1284,476,388,452,420,452,416,452,1268,444,428,412,460,412,1312,412,1316,448,424,412,1312,412,460,452,416,452,1272,412,1316,412,460,412,1316,480,1248,412,456,412,460,416,1312,440,428,412,456,412,1316,480,388,452,412,416,452,452,416,412,456,412,464,412,456,412,460,412,456,416,456,452,412,452,416,452,416,416,452,416,456,452,412,416,460,448,420,468,408,412,456,412,1316,436,432,452,416,452,416,412,456,412,460,412,1312,412,460,412,456,412,460,452,412,412,1312,440,428,452,1276,416,452,416,456,412,456,452,416,452,416,452,412,440,436,436,440,412,456,412,1316,452,1272,416,460,412,456,452,1276,412,460,412,1312,452,420,412,456,412,460,452,1280,440,424,412,460,412,456,448,1276,412,460,412,1312,440,432,412,1316,412,460,452,416,452,416,452,412,412,460,412,456,416,452,452,416,412,456,452,416,412,456,416,452,416,456,416,456,412,464,412,456,452,416,416,452,452,416,452,420,412,456,452,416,452,416,448,428,412,456,452,416,412,456,452,416,412,456,412,460,412,460,412,460,452,416,412,460,416,456,452,416,412,456,452,416,452,412,416,452,452,416,452,416,452,412,416,456,452,412,452,424,412,460,452,416,412,456,452,1276,476,1248,476,388,452,1272,416,456,452,416,452,416,452,416,452}; //AnalysIR Batch Export - RAW</t>
  </si>
  <si>
    <t>On/OFF</t>
  </si>
  <si>
    <t>TIME</t>
  </si>
  <si>
    <t>FAN</t>
  </si>
  <si>
    <t>Mode</t>
  </si>
  <si>
    <t>Vanne</t>
  </si>
  <si>
    <t>temp</t>
  </si>
  <si>
    <t>00000001</t>
  </si>
  <si>
    <t>00100000</t>
  </si>
  <si>
    <t>00001000</t>
  </si>
  <si>
    <t>BYTE 18 CRC</t>
  </si>
  <si>
    <t>400407200000006040040720009234018C0000700708008000608C</t>
  </si>
  <si>
    <t>PACKET 1</t>
  </si>
  <si>
    <t>PACKET 2</t>
  </si>
  <si>
    <t>HEAT</t>
  </si>
  <si>
    <t>HH</t>
  </si>
  <si>
    <t>400407200000006040040720001274018C0000700708008000604C</t>
  </si>
  <si>
    <t>40040720000000604004072000120C018C0000700708008000602C</t>
  </si>
  <si>
    <t>400407200000006040040720001234018C0000700708008000600C</t>
  </si>
  <si>
    <t>400407200000006040040720001254018C00007007080080006074</t>
  </si>
  <si>
    <t>400407200000006040040720009254018C000070070800800060F4</t>
  </si>
  <si>
    <t>CRC</t>
  </si>
  <si>
    <t>01000000</t>
  </si>
  <si>
    <t>00000100</t>
  </si>
  <si>
    <t>00000111</t>
  </si>
  <si>
    <t>01100000</t>
  </si>
  <si>
    <t>10010010</t>
  </si>
  <si>
    <t>00110100</t>
  </si>
  <si>
    <t>10001100</t>
  </si>
  <si>
    <t>01110000</t>
  </si>
  <si>
    <t>10000000</t>
  </si>
  <si>
    <t>Bin 19</t>
  </si>
  <si>
    <t>Bin 20</t>
  </si>
  <si>
    <t>Bin 21</t>
  </si>
  <si>
    <t>Bin 22</t>
  </si>
  <si>
    <t>Bin 23</t>
  </si>
  <si>
    <t>Bin 24</t>
  </si>
  <si>
    <t>Bin 25</t>
  </si>
  <si>
    <t>Bin 26</t>
  </si>
  <si>
    <t>Bin 27</t>
  </si>
  <si>
    <t>40040720000000604004072000103C01850000700708008000600E</t>
  </si>
  <si>
    <t>00010000</t>
  </si>
  <si>
    <t>00111100</t>
  </si>
  <si>
    <t>10000101</t>
  </si>
  <si>
    <t>00001110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</si>
</sst>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3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0" xfId="0" applyFill="1"/>
    <xf numFmtId="0" fontId="0" fillId="0" borderId="0" xfId="0" applyFill="1"/>
    <xf numFmtId="0" fontId="0" fillId="0" borderId="0" xfId="0" applyFont="1" applyFill="1"/>
    <xf numFmtId="0" fontId="1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0" fontId="0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676275</xdr:colOff>
      <xdr:row>0</xdr:row>
      <xdr:rowOff>104775</xdr:rowOff>
    </xdr:from>
    <xdr:to>
      <xdr:col>14</xdr:col>
      <xdr:colOff>427323</xdr:colOff>
      <xdr:row>31</xdr:row>
      <xdr:rowOff>113561</xdr:rowOff>
    </xdr:to>
    <xdr:pic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6275" y="104775"/>
          <a:ext cx="10419048" cy="591428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BW17"/>
  <sheetViews>
    <sheetView workbookViewId="0">
      <selection activeCell="A10" sqref="A10"/>
    </sheetView>
  </sheetViews>
  <sheetFormatPr baseColWidth="10" defaultRowHeight="15" x14ac:dyDescent="0.25"/>
  <cols>
    <col min="1" max="1" width="56.42578125" bestFit="1" customWidth="1"/>
    <col min="2" max="2" width="17.140625" bestFit="1" customWidth="1"/>
    <col min="3" max="3" width="17.140625" customWidth="1"/>
    <col min="4" max="4" width="40.140625" bestFit="1" customWidth="1"/>
    <col min="5" max="5" width="6.5703125" customWidth="1"/>
    <col min="6" max="6" width="5.85546875" bestFit="1" customWidth="1"/>
    <col min="7" max="7" width="13.85546875" customWidth="1"/>
    <col min="8" max="9" width="5.28515625" customWidth="1"/>
    <col min="10" max="10" width="4.7109375" bestFit="1" customWidth="1"/>
    <col min="11" max="24" width="3" bestFit="1" customWidth="1"/>
    <col min="25" max="25" width="3.140625" bestFit="1" customWidth="1"/>
    <col min="26" max="26" width="3" bestFit="1" customWidth="1"/>
    <col min="27" max="27" width="3.140625" bestFit="1" customWidth="1"/>
    <col min="28" max="28" width="3" bestFit="1" customWidth="1"/>
    <col min="29" max="29" width="3" customWidth="1"/>
    <col min="30" max="30" width="4" customWidth="1"/>
    <col min="31" max="31" width="2.28515625" customWidth="1"/>
    <col min="32" max="32" width="3" bestFit="1" customWidth="1"/>
    <col min="33" max="33" width="3.28515625" bestFit="1" customWidth="1"/>
    <col min="34" max="38" width="3" bestFit="1" customWidth="1"/>
    <col min="39" max="39" width="4" bestFit="1" customWidth="1"/>
    <col min="40" max="40" width="3.140625" bestFit="1" customWidth="1"/>
    <col min="41" max="41" width="3.28515625" style="2" bestFit="1" customWidth="1"/>
    <col min="42" max="42" width="3.42578125" bestFit="1" customWidth="1"/>
    <col min="43" max="49" width="3" bestFit="1" customWidth="1"/>
    <col min="50" max="50" width="3" customWidth="1"/>
    <col min="51" max="51" width="3" bestFit="1" customWidth="1"/>
    <col min="52" max="58" width="9" bestFit="1" customWidth="1"/>
    <col min="59" max="59" width="12" bestFit="1" customWidth="1"/>
    <col min="60" max="60" width="5" bestFit="1" customWidth="1"/>
    <col min="61" max="61" width="9" bestFit="1" customWidth="1"/>
    <col min="62" max="62" width="9" style="1" bestFit="1" customWidth="1"/>
    <col min="63" max="63" width="9" customWidth="1"/>
    <col min="64" max="64" width="9" bestFit="1" customWidth="1"/>
    <col min="65" max="65" width="9" customWidth="1"/>
    <col min="66" max="66" width="9" bestFit="1" customWidth="1"/>
    <col min="67" max="67" width="9" customWidth="1"/>
    <col min="68" max="68" width="9" bestFit="1" customWidth="1"/>
    <col min="69" max="69" width="9" customWidth="1"/>
    <col min="70" max="70" width="9" bestFit="1" customWidth="1"/>
    <col min="71" max="71" width="9" customWidth="1"/>
    <col min="72" max="75" width="9" bestFit="1" customWidth="1"/>
  </cols>
  <sheetData>
    <row r="1" spans="1:75" x14ac:dyDescent="0.25">
      <c r="A1" t="s">
        <v>57</v>
      </c>
      <c r="B1" t="str">
        <f>LEFT(A1,16)</f>
        <v>4004072000000060</v>
      </c>
      <c r="D1" t="str">
        <f>RIGHT(A1,(27*2)-16)</f>
        <v>40040720009234018C0000700708008000608C</v>
      </c>
    </row>
    <row r="2" spans="1:75" x14ac:dyDescent="0.25">
      <c r="A2" t="str">
        <f>HEX2BIN("C4")</f>
        <v>11000100</v>
      </c>
      <c r="F2">
        <v>216</v>
      </c>
      <c r="G2">
        <f>F2/8</f>
        <v>27</v>
      </c>
      <c r="AO2"/>
    </row>
    <row r="3" spans="1:75" x14ac:dyDescent="0.25">
      <c r="AO3"/>
    </row>
    <row r="4" spans="1:75" x14ac:dyDescent="0.25">
      <c r="AO4"/>
    </row>
    <row r="5" spans="1:75" x14ac:dyDescent="0.25">
      <c r="BE5" t="s">
        <v>47</v>
      </c>
      <c r="BG5" t="s">
        <v>52</v>
      </c>
    </row>
    <row r="6" spans="1:75" x14ac:dyDescent="0.25">
      <c r="B6" t="s">
        <v>58</v>
      </c>
      <c r="D6" t="s">
        <v>59</v>
      </c>
      <c r="E6" t="s">
        <v>48</v>
      </c>
      <c r="F6" t="s">
        <v>2</v>
      </c>
      <c r="G6" t="s">
        <v>1</v>
      </c>
      <c r="H6" t="s">
        <v>50</v>
      </c>
      <c r="I6" t="s">
        <v>51</v>
      </c>
      <c r="J6" t="s">
        <v>49</v>
      </c>
      <c r="K6">
        <v>1</v>
      </c>
      <c r="L6">
        <v>2</v>
      </c>
      <c r="M6">
        <v>3</v>
      </c>
      <c r="N6">
        <v>4</v>
      </c>
      <c r="O6">
        <v>5</v>
      </c>
      <c r="P6">
        <v>6</v>
      </c>
      <c r="Q6">
        <v>7</v>
      </c>
      <c r="R6">
        <v>8</v>
      </c>
      <c r="S6">
        <v>9</v>
      </c>
      <c r="T6">
        <v>10</v>
      </c>
      <c r="U6">
        <v>11</v>
      </c>
      <c r="V6">
        <v>12</v>
      </c>
      <c r="W6">
        <v>13</v>
      </c>
      <c r="X6">
        <v>14</v>
      </c>
      <c r="Y6">
        <v>15</v>
      </c>
      <c r="Z6">
        <v>16</v>
      </c>
      <c r="AA6">
        <v>17</v>
      </c>
      <c r="AB6">
        <v>18</v>
      </c>
      <c r="AC6">
        <v>19</v>
      </c>
      <c r="AF6">
        <v>1</v>
      </c>
      <c r="AG6">
        <v>2</v>
      </c>
      <c r="AH6">
        <v>3</v>
      </c>
      <c r="AI6">
        <v>4</v>
      </c>
      <c r="AJ6">
        <v>5</v>
      </c>
      <c r="AK6">
        <v>6</v>
      </c>
      <c r="AL6">
        <v>7</v>
      </c>
      <c r="AM6">
        <v>8</v>
      </c>
      <c r="AN6">
        <v>9</v>
      </c>
      <c r="AO6" s="2">
        <v>10</v>
      </c>
      <c r="AP6">
        <v>11</v>
      </c>
      <c r="AQ6">
        <v>12</v>
      </c>
      <c r="AR6">
        <v>13</v>
      </c>
      <c r="AS6">
        <v>14</v>
      </c>
      <c r="AT6">
        <v>15</v>
      </c>
      <c r="AU6">
        <v>16</v>
      </c>
      <c r="AV6">
        <v>17</v>
      </c>
      <c r="AW6">
        <v>18</v>
      </c>
      <c r="AX6">
        <v>19</v>
      </c>
      <c r="AZ6" t="s">
        <v>21</v>
      </c>
      <c r="BA6" t="s">
        <v>22</v>
      </c>
      <c r="BB6" t="s">
        <v>23</v>
      </c>
      <c r="BC6" t="s">
        <v>24</v>
      </c>
      <c r="BD6" t="s">
        <v>25</v>
      </c>
      <c r="BE6" t="s">
        <v>26</v>
      </c>
      <c r="BF6" t="s">
        <v>27</v>
      </c>
      <c r="BG6" t="s">
        <v>28</v>
      </c>
      <c r="BI6" t="s">
        <v>29</v>
      </c>
      <c r="BJ6" s="1" t="s">
        <v>30</v>
      </c>
      <c r="BL6" t="s">
        <v>31</v>
      </c>
      <c r="BN6" t="s">
        <v>32</v>
      </c>
      <c r="BP6" t="s">
        <v>33</v>
      </c>
      <c r="BR6" t="s">
        <v>34</v>
      </c>
      <c r="BT6" t="s">
        <v>35</v>
      </c>
      <c r="BU6" t="s">
        <v>36</v>
      </c>
      <c r="BV6" t="s">
        <v>37</v>
      </c>
      <c r="BW6" t="s">
        <v>38</v>
      </c>
    </row>
    <row r="7" spans="1:75" x14ac:dyDescent="0.25">
      <c r="A7" t="s">
        <v>57</v>
      </c>
      <c r="B7" t="str">
        <f>LEFT(A7,16)</f>
        <v>4004072000000060</v>
      </c>
      <c r="D7" t="str">
        <f>RIGHT(A7,(27*2)-16)</f>
        <v>40040720009234018C0000700708008000608C</v>
      </c>
      <c r="F7">
        <v>22</v>
      </c>
      <c r="G7" t="s">
        <v>0</v>
      </c>
      <c r="H7" t="s">
        <v>60</v>
      </c>
      <c r="I7" t="s">
        <v>61</v>
      </c>
      <c r="J7">
        <v>1</v>
      </c>
      <c r="K7" t="str">
        <f>RIGHT(LEFT($D7,2*K$6),2)</f>
        <v>40</v>
      </c>
      <c r="L7" t="str">
        <f t="shared" ref="L7:AB15" si="0">RIGHT(LEFT($D7,2*L$6),2)</f>
        <v>04</v>
      </c>
      <c r="M7" t="str">
        <f t="shared" si="0"/>
        <v>07</v>
      </c>
      <c r="N7" t="str">
        <f t="shared" si="0"/>
        <v>20</v>
      </c>
      <c r="O7" t="str">
        <f t="shared" si="0"/>
        <v>00</v>
      </c>
      <c r="P7" t="str">
        <f t="shared" si="0"/>
        <v>92</v>
      </c>
      <c r="Q7" t="str">
        <f t="shared" si="0"/>
        <v>34</v>
      </c>
      <c r="R7" t="str">
        <f t="shared" si="0"/>
        <v>01</v>
      </c>
      <c r="S7" t="str">
        <f t="shared" si="0"/>
        <v>8C</v>
      </c>
      <c r="T7" t="str">
        <f t="shared" si="0"/>
        <v>00</v>
      </c>
      <c r="U7" t="str">
        <f>RIGHT(LEFT($D7,2*U$6),2)</f>
        <v>00</v>
      </c>
      <c r="V7" t="str">
        <f t="shared" si="0"/>
        <v>70</v>
      </c>
      <c r="W7" t="str">
        <f t="shared" si="0"/>
        <v>07</v>
      </c>
      <c r="X7" t="str">
        <f t="shared" si="0"/>
        <v>08</v>
      </c>
      <c r="Y7" t="str">
        <f t="shared" si="0"/>
        <v>00</v>
      </c>
      <c r="Z7" t="str">
        <f t="shared" si="0"/>
        <v>80</v>
      </c>
      <c r="AA7" t="str">
        <f t="shared" si="0"/>
        <v>00</v>
      </c>
      <c r="AB7" t="str">
        <f t="shared" si="0"/>
        <v>60</v>
      </c>
      <c r="AC7" t="str">
        <f>RIGHT(LEFT($D7,2*AC$6),2)</f>
        <v>8C</v>
      </c>
      <c r="AD7">
        <f>HEX2DEC(AC7)</f>
        <v>140</v>
      </c>
      <c r="AF7" t="str">
        <f t="shared" ref="AF7:AO11" si="1">BIN2HEX(ReverseText(HEX2BIN(K7,8)),2)</f>
        <v>02</v>
      </c>
      <c r="AG7" t="str">
        <f t="shared" si="1"/>
        <v>20</v>
      </c>
      <c r="AH7" t="str">
        <f t="shared" si="1"/>
        <v>E0</v>
      </c>
      <c r="AI7" t="str">
        <f t="shared" si="1"/>
        <v>04</v>
      </c>
      <c r="AJ7" t="str">
        <f t="shared" si="1"/>
        <v>00</v>
      </c>
      <c r="AK7" t="str">
        <f t="shared" si="1"/>
        <v>49</v>
      </c>
      <c r="AL7" t="str">
        <f t="shared" si="1"/>
        <v>2C</v>
      </c>
      <c r="AM7" t="str">
        <f t="shared" si="1"/>
        <v>80</v>
      </c>
      <c r="AN7" t="str">
        <f t="shared" si="1"/>
        <v>31</v>
      </c>
      <c r="AO7" s="2" t="str">
        <f t="shared" si="1"/>
        <v>00</v>
      </c>
      <c r="AP7" t="str">
        <f t="shared" ref="AP7:AY11" si="2">BIN2HEX(ReverseText(HEX2BIN(U7,8)),2)</f>
        <v>00</v>
      </c>
      <c r="AQ7" t="str">
        <f t="shared" si="2"/>
        <v>0E</v>
      </c>
      <c r="AR7" t="str">
        <f t="shared" si="2"/>
        <v>E0</v>
      </c>
      <c r="AS7" t="str">
        <f t="shared" si="2"/>
        <v>10</v>
      </c>
      <c r="AT7" t="str">
        <f t="shared" si="2"/>
        <v>00</v>
      </c>
      <c r="AU7" t="str">
        <f t="shared" si="2"/>
        <v>01</v>
      </c>
      <c r="AV7" t="str">
        <f t="shared" si="2"/>
        <v>00</v>
      </c>
      <c r="AW7" t="str">
        <f t="shared" si="2"/>
        <v>06</v>
      </c>
      <c r="AX7" t="str">
        <f t="shared" si="2"/>
        <v>31</v>
      </c>
      <c r="AY7">
        <f>HEX2DEC(AX7)</f>
        <v>49</v>
      </c>
      <c r="AZ7" s="3" t="str">
        <f t="shared" ref="AZ7:BG7" si="3">HEX2BIN(AF7,8)</f>
        <v>00000010</v>
      </c>
      <c r="BA7" s="3" t="str">
        <f t="shared" si="3"/>
        <v>00100000</v>
      </c>
      <c r="BB7" s="3" t="str">
        <f t="shared" si="3"/>
        <v>11100000</v>
      </c>
      <c r="BC7" s="3" t="str">
        <f t="shared" si="3"/>
        <v>00000100</v>
      </c>
      <c r="BD7" s="3" t="str">
        <f t="shared" si="3"/>
        <v>00000000</v>
      </c>
      <c r="BE7" s="3" t="str">
        <f t="shared" si="3"/>
        <v>01001001</v>
      </c>
      <c r="BF7" s="3" t="str">
        <f t="shared" si="3"/>
        <v>00101100</v>
      </c>
      <c r="BG7" s="3" t="str">
        <f t="shared" si="3"/>
        <v>10000000</v>
      </c>
      <c r="BH7" s="3"/>
      <c r="BI7" s="3" t="str">
        <f>HEX2BIN(AN7,8)</f>
        <v>00110001</v>
      </c>
      <c r="BJ7" s="6" t="str">
        <f>HEX2BIN(AO7,8)</f>
        <v>00000000</v>
      </c>
      <c r="BK7" s="3"/>
      <c r="BL7" s="3" t="str">
        <f>HEX2BIN(AP7,8)</f>
        <v>00000000</v>
      </c>
      <c r="BM7" s="3"/>
      <c r="BN7" s="3" t="str">
        <f>HEX2BIN(AQ7,8)</f>
        <v>00001110</v>
      </c>
      <c r="BO7" s="3"/>
      <c r="BP7" s="3" t="str">
        <f>HEX2BIN(AR7,8)</f>
        <v>11100000</v>
      </c>
      <c r="BQ7" s="3"/>
      <c r="BR7" s="3" t="str">
        <f>HEX2BIN(AS7,8)</f>
        <v>00010000</v>
      </c>
      <c r="BS7" s="3"/>
      <c r="BT7" s="3" t="str">
        <f>HEX2BIN(AT7,8)</f>
        <v>00000000</v>
      </c>
      <c r="BU7" s="3" t="str">
        <f>HEX2BIN(AU7,8)</f>
        <v>00000001</v>
      </c>
      <c r="BV7" s="3" t="str">
        <f>HEX2BIN(AV7,8)</f>
        <v>00000000</v>
      </c>
      <c r="BW7" s="3" t="str">
        <f>HEX2BIN(AW7,8)</f>
        <v>00000110</v>
      </c>
    </row>
    <row r="8" spans="1:75" x14ac:dyDescent="0.25">
      <c r="A8" t="s">
        <v>57</v>
      </c>
      <c r="B8" t="str">
        <f t="shared" ref="B8:B15" si="4">LEFT(A8,16)</f>
        <v>4004072000000060</v>
      </c>
      <c r="D8" t="str">
        <f>RIGHT(A8,(27*2)-16)</f>
        <v>40040720009234018C0000700708008000608C</v>
      </c>
      <c r="F8">
        <v>22</v>
      </c>
      <c r="G8" t="s">
        <v>20</v>
      </c>
      <c r="H8" t="s">
        <v>60</v>
      </c>
      <c r="I8" t="s">
        <v>61</v>
      </c>
      <c r="J8">
        <v>1</v>
      </c>
      <c r="K8" t="str">
        <f t="shared" ref="K8:K15" si="5">RIGHT(LEFT($D8,2*K$6),2)</f>
        <v>40</v>
      </c>
      <c r="L8" t="str">
        <f t="shared" si="0"/>
        <v>04</v>
      </c>
      <c r="M8" t="str">
        <f t="shared" si="0"/>
        <v>07</v>
      </c>
      <c r="N8" t="str">
        <f t="shared" si="0"/>
        <v>20</v>
      </c>
      <c r="O8" t="str">
        <f t="shared" si="0"/>
        <v>00</v>
      </c>
      <c r="P8" t="str">
        <f t="shared" si="0"/>
        <v>92</v>
      </c>
      <c r="Q8" t="str">
        <f t="shared" si="0"/>
        <v>34</v>
      </c>
      <c r="R8" t="str">
        <f t="shared" si="0"/>
        <v>01</v>
      </c>
      <c r="S8" t="str">
        <f t="shared" si="0"/>
        <v>8C</v>
      </c>
      <c r="T8" t="str">
        <f t="shared" si="0"/>
        <v>00</v>
      </c>
      <c r="U8" t="str">
        <f t="shared" si="0"/>
        <v>00</v>
      </c>
      <c r="V8" t="str">
        <f t="shared" si="0"/>
        <v>70</v>
      </c>
      <c r="W8" t="str">
        <f t="shared" si="0"/>
        <v>07</v>
      </c>
      <c r="X8" t="str">
        <f t="shared" si="0"/>
        <v>08</v>
      </c>
      <c r="Y8" t="str">
        <f t="shared" si="0"/>
        <v>00</v>
      </c>
      <c r="Z8" t="str">
        <f t="shared" si="0"/>
        <v>80</v>
      </c>
      <c r="AA8" t="str">
        <f t="shared" si="0"/>
        <v>00</v>
      </c>
      <c r="AB8" t="str">
        <f t="shared" si="0"/>
        <v>60</v>
      </c>
      <c r="AC8" t="str">
        <f t="shared" ref="AC8:AC15" si="6">RIGHT(LEFT($D8,2*AC$6),2)</f>
        <v>8C</v>
      </c>
      <c r="AD8">
        <f t="shared" ref="AD8:AD15" si="7">HEX2DEC(AC8)</f>
        <v>140</v>
      </c>
      <c r="AF8" t="str">
        <f t="shared" si="1"/>
        <v>02</v>
      </c>
      <c r="AG8" t="str">
        <f t="shared" si="1"/>
        <v>20</v>
      </c>
      <c r="AH8" t="str">
        <f t="shared" si="1"/>
        <v>E0</v>
      </c>
      <c r="AI8" t="str">
        <f t="shared" si="1"/>
        <v>04</v>
      </c>
      <c r="AJ8" t="str">
        <f t="shared" si="1"/>
        <v>00</v>
      </c>
      <c r="AK8" t="str">
        <f t="shared" si="1"/>
        <v>49</v>
      </c>
      <c r="AL8" t="str">
        <f t="shared" si="1"/>
        <v>2C</v>
      </c>
      <c r="AM8" t="str">
        <f t="shared" si="1"/>
        <v>80</v>
      </c>
      <c r="AN8" t="str">
        <f t="shared" si="1"/>
        <v>31</v>
      </c>
      <c r="AO8" s="2" t="str">
        <f t="shared" si="1"/>
        <v>00</v>
      </c>
      <c r="AP8" t="str">
        <f t="shared" si="2"/>
        <v>00</v>
      </c>
      <c r="AQ8" t="str">
        <f t="shared" si="2"/>
        <v>0E</v>
      </c>
      <c r="AR8" t="str">
        <f t="shared" si="2"/>
        <v>E0</v>
      </c>
      <c r="AS8" t="str">
        <f t="shared" si="2"/>
        <v>10</v>
      </c>
      <c r="AT8" t="str">
        <f t="shared" si="2"/>
        <v>00</v>
      </c>
      <c r="AU8" t="str">
        <f t="shared" si="2"/>
        <v>01</v>
      </c>
      <c r="AV8" t="str">
        <f t="shared" si="2"/>
        <v>00</v>
      </c>
      <c r="AW8" t="str">
        <f t="shared" si="2"/>
        <v>06</v>
      </c>
      <c r="AX8" t="str">
        <f t="shared" si="2"/>
        <v>31</v>
      </c>
      <c r="AY8">
        <f t="shared" ref="AY8:AY15" si="8">HEX2DEC(AX8)</f>
        <v>49</v>
      </c>
      <c r="AZ8" s="3" t="str">
        <f t="shared" ref="AZ8:AZ11" si="9">HEX2BIN(AF8,8)</f>
        <v>00000010</v>
      </c>
      <c r="BA8" s="3" t="str">
        <f t="shared" ref="BA8:BA11" si="10">HEX2BIN(AG8,8)</f>
        <v>00100000</v>
      </c>
      <c r="BB8" s="3" t="str">
        <f t="shared" ref="BB8:BB11" si="11">HEX2BIN(AH8,8)</f>
        <v>11100000</v>
      </c>
      <c r="BC8" s="3" t="str">
        <f t="shared" ref="BC8:BC11" si="12">HEX2BIN(AI8,8)</f>
        <v>00000100</v>
      </c>
      <c r="BD8" s="3" t="str">
        <f t="shared" ref="BD8:BD11" si="13">HEX2BIN(AJ8,8)</f>
        <v>00000000</v>
      </c>
      <c r="BE8" s="3" t="str">
        <f t="shared" ref="BE8:BE11" si="14">HEX2BIN(AK8,8)</f>
        <v>01001001</v>
      </c>
      <c r="BF8" s="3" t="str">
        <f t="shared" ref="BF8:BF11" si="15">HEX2BIN(AL8,8)</f>
        <v>00101100</v>
      </c>
      <c r="BG8" s="3" t="str">
        <f t="shared" ref="BG8:BG11" si="16">HEX2BIN(AM8,8)</f>
        <v>10000000</v>
      </c>
      <c r="BH8" s="3"/>
      <c r="BI8" s="3" t="str">
        <f t="shared" ref="BI8:BI11" si="17">HEX2BIN(AN8,8)</f>
        <v>00110001</v>
      </c>
      <c r="BJ8" s="6" t="str">
        <f t="shared" ref="BJ8:BJ11" si="18">HEX2BIN(AO8,8)</f>
        <v>00000000</v>
      </c>
      <c r="BK8" s="3"/>
      <c r="BL8" s="3" t="str">
        <f t="shared" ref="BL8:BL11" si="19">HEX2BIN(AP8,8)</f>
        <v>00000000</v>
      </c>
      <c r="BM8" s="3"/>
      <c r="BN8" s="3" t="str">
        <f t="shared" ref="BN8:BN11" si="20">HEX2BIN(AQ8,8)</f>
        <v>00001110</v>
      </c>
      <c r="BO8" s="3"/>
      <c r="BP8" s="3" t="str">
        <f t="shared" ref="BP8:BP11" si="21">HEX2BIN(AR8,8)</f>
        <v>11100000</v>
      </c>
      <c r="BQ8" s="3"/>
      <c r="BR8" s="3" t="str">
        <f t="shared" ref="BR8:BR11" si="22">HEX2BIN(AS8,8)</f>
        <v>00010000</v>
      </c>
      <c r="BS8" s="3"/>
      <c r="BT8" s="3" t="str">
        <f t="shared" ref="BT8:BT11" si="23">HEX2BIN(AT8,8)</f>
        <v>00000000</v>
      </c>
      <c r="BU8" s="3" t="str">
        <f t="shared" ref="BU8:BU11" si="24">HEX2BIN(AU8,8)</f>
        <v>00000001</v>
      </c>
      <c r="BV8" s="3" t="str">
        <f t="shared" ref="BV8:BV11" si="25">HEX2BIN(AV8,8)</f>
        <v>00000000</v>
      </c>
      <c r="BW8" s="3" t="str">
        <f t="shared" ref="BW8:BW11" si="26">HEX2BIN(AW8,8)</f>
        <v>00000110</v>
      </c>
    </row>
    <row r="9" spans="1:75" x14ac:dyDescent="0.25">
      <c r="A9" t="s">
        <v>62</v>
      </c>
      <c r="B9" t="str">
        <f t="shared" si="4"/>
        <v>4004072000000060</v>
      </c>
      <c r="D9" t="str">
        <f>RIGHT(A9,(27*2)-16)</f>
        <v>40040720001274018C0000700708008000604C</v>
      </c>
      <c r="F9">
        <v>23</v>
      </c>
      <c r="G9" t="s">
        <v>0</v>
      </c>
      <c r="H9" t="s">
        <v>60</v>
      </c>
      <c r="I9" t="s">
        <v>61</v>
      </c>
      <c r="J9">
        <v>1</v>
      </c>
      <c r="K9" t="str">
        <f t="shared" si="5"/>
        <v>40</v>
      </c>
      <c r="L9" t="str">
        <f t="shared" si="0"/>
        <v>04</v>
      </c>
      <c r="M9" t="str">
        <f t="shared" si="0"/>
        <v>07</v>
      </c>
      <c r="N9" t="str">
        <f t="shared" si="0"/>
        <v>20</v>
      </c>
      <c r="O9" t="str">
        <f t="shared" si="0"/>
        <v>00</v>
      </c>
      <c r="P9" t="str">
        <f t="shared" si="0"/>
        <v>12</v>
      </c>
      <c r="Q9" t="str">
        <f t="shared" si="0"/>
        <v>74</v>
      </c>
      <c r="R9" t="str">
        <f t="shared" si="0"/>
        <v>01</v>
      </c>
      <c r="S9" t="str">
        <f t="shared" si="0"/>
        <v>8C</v>
      </c>
      <c r="T9" t="str">
        <f t="shared" si="0"/>
        <v>00</v>
      </c>
      <c r="U9" t="str">
        <f t="shared" si="0"/>
        <v>00</v>
      </c>
      <c r="V9" t="str">
        <f t="shared" si="0"/>
        <v>70</v>
      </c>
      <c r="W9" t="str">
        <f t="shared" si="0"/>
        <v>07</v>
      </c>
      <c r="X9" t="str">
        <f t="shared" si="0"/>
        <v>08</v>
      </c>
      <c r="Y9" t="str">
        <f t="shared" si="0"/>
        <v>00</v>
      </c>
      <c r="Z9" t="str">
        <f t="shared" si="0"/>
        <v>80</v>
      </c>
      <c r="AA9" t="str">
        <f t="shared" si="0"/>
        <v>00</v>
      </c>
      <c r="AB9" t="str">
        <f t="shared" si="0"/>
        <v>60</v>
      </c>
      <c r="AC9" t="str">
        <f t="shared" si="6"/>
        <v>4C</v>
      </c>
      <c r="AD9">
        <f t="shared" si="7"/>
        <v>76</v>
      </c>
      <c r="AF9" t="str">
        <f t="shared" si="1"/>
        <v>02</v>
      </c>
      <c r="AG9" t="str">
        <f t="shared" si="1"/>
        <v>20</v>
      </c>
      <c r="AH9" t="str">
        <f t="shared" si="1"/>
        <v>E0</v>
      </c>
      <c r="AI9" t="str">
        <f t="shared" si="1"/>
        <v>04</v>
      </c>
      <c r="AJ9" t="str">
        <f t="shared" si="1"/>
        <v>00</v>
      </c>
      <c r="AK9" t="str">
        <f t="shared" si="1"/>
        <v>48</v>
      </c>
      <c r="AL9" t="str">
        <f t="shared" si="1"/>
        <v>2E</v>
      </c>
      <c r="AM9" t="str">
        <f t="shared" si="1"/>
        <v>80</v>
      </c>
      <c r="AN9" t="str">
        <f t="shared" si="1"/>
        <v>31</v>
      </c>
      <c r="AO9" s="2" t="str">
        <f t="shared" si="1"/>
        <v>00</v>
      </c>
      <c r="AP9" t="str">
        <f t="shared" si="2"/>
        <v>00</v>
      </c>
      <c r="AQ9" t="str">
        <f t="shared" si="2"/>
        <v>0E</v>
      </c>
      <c r="AR9" t="str">
        <f t="shared" si="2"/>
        <v>E0</v>
      </c>
      <c r="AS9" t="str">
        <f t="shared" si="2"/>
        <v>10</v>
      </c>
      <c r="AT9" t="str">
        <f t="shared" si="2"/>
        <v>00</v>
      </c>
      <c r="AU9" t="str">
        <f t="shared" si="2"/>
        <v>01</v>
      </c>
      <c r="AV9" t="str">
        <f t="shared" si="2"/>
        <v>00</v>
      </c>
      <c r="AW9" t="str">
        <f t="shared" si="2"/>
        <v>06</v>
      </c>
      <c r="AX9" t="str">
        <f t="shared" si="2"/>
        <v>32</v>
      </c>
      <c r="AY9">
        <f t="shared" si="8"/>
        <v>50</v>
      </c>
      <c r="AZ9" s="3" t="str">
        <f t="shared" si="9"/>
        <v>00000010</v>
      </c>
      <c r="BA9" s="3" t="str">
        <f t="shared" si="10"/>
        <v>00100000</v>
      </c>
      <c r="BB9" s="3" t="str">
        <f t="shared" si="11"/>
        <v>11100000</v>
      </c>
      <c r="BC9" s="3" t="str">
        <f t="shared" si="12"/>
        <v>00000100</v>
      </c>
      <c r="BD9" s="3" t="str">
        <f t="shared" si="13"/>
        <v>00000000</v>
      </c>
      <c r="BE9" s="3" t="str">
        <f t="shared" si="14"/>
        <v>01001000</v>
      </c>
      <c r="BF9" s="3" t="str">
        <f t="shared" si="15"/>
        <v>00101110</v>
      </c>
      <c r="BG9" s="3" t="str">
        <f t="shared" si="16"/>
        <v>10000000</v>
      </c>
      <c r="BH9" s="3"/>
      <c r="BI9" s="3" t="str">
        <f t="shared" si="17"/>
        <v>00110001</v>
      </c>
      <c r="BJ9" s="6" t="str">
        <f t="shared" si="18"/>
        <v>00000000</v>
      </c>
      <c r="BK9" s="3"/>
      <c r="BL9" s="3" t="str">
        <f t="shared" si="19"/>
        <v>00000000</v>
      </c>
      <c r="BM9" s="3"/>
      <c r="BN9" s="3" t="str">
        <f t="shared" si="20"/>
        <v>00001110</v>
      </c>
      <c r="BO9" s="3"/>
      <c r="BP9" s="3" t="str">
        <f t="shared" si="21"/>
        <v>11100000</v>
      </c>
      <c r="BQ9" s="3"/>
      <c r="BR9" s="3" t="str">
        <f t="shared" si="22"/>
        <v>00010000</v>
      </c>
      <c r="BS9" s="3"/>
      <c r="BT9" s="3" t="str">
        <f t="shared" si="23"/>
        <v>00000000</v>
      </c>
      <c r="BU9" s="3" t="str">
        <f t="shared" si="24"/>
        <v>00000001</v>
      </c>
      <c r="BV9" s="3" t="str">
        <f t="shared" si="25"/>
        <v>00000000</v>
      </c>
      <c r="BW9" s="3" t="str">
        <f t="shared" si="26"/>
        <v>00000110</v>
      </c>
    </row>
    <row r="10" spans="1:75" x14ac:dyDescent="0.25">
      <c r="A10" t="s">
        <v>63</v>
      </c>
      <c r="B10" t="str">
        <f t="shared" si="4"/>
        <v>4004072000000060</v>
      </c>
      <c r="D10" t="str">
        <f>RIGHT(A10,(27*2)-16)</f>
        <v>4004072000120C018C0000700708008000602C</v>
      </c>
      <c r="F10">
        <v>24</v>
      </c>
      <c r="G10" t="s">
        <v>0</v>
      </c>
      <c r="H10" t="s">
        <v>60</v>
      </c>
      <c r="I10" t="s">
        <v>61</v>
      </c>
      <c r="J10">
        <v>1</v>
      </c>
      <c r="K10" t="str">
        <f t="shared" si="5"/>
        <v>40</v>
      </c>
      <c r="L10" t="str">
        <f t="shared" si="0"/>
        <v>04</v>
      </c>
      <c r="M10" t="str">
        <f t="shared" si="0"/>
        <v>07</v>
      </c>
      <c r="N10" t="str">
        <f t="shared" si="0"/>
        <v>20</v>
      </c>
      <c r="O10" t="str">
        <f t="shared" si="0"/>
        <v>00</v>
      </c>
      <c r="P10" t="str">
        <f t="shared" si="0"/>
        <v>12</v>
      </c>
      <c r="Q10" t="str">
        <f t="shared" si="0"/>
        <v>0C</v>
      </c>
      <c r="R10" t="str">
        <f t="shared" si="0"/>
        <v>01</v>
      </c>
      <c r="S10" t="str">
        <f t="shared" si="0"/>
        <v>8C</v>
      </c>
      <c r="T10" t="str">
        <f t="shared" si="0"/>
        <v>00</v>
      </c>
      <c r="U10" t="str">
        <f t="shared" si="0"/>
        <v>00</v>
      </c>
      <c r="V10" t="str">
        <f t="shared" si="0"/>
        <v>70</v>
      </c>
      <c r="W10" t="str">
        <f t="shared" si="0"/>
        <v>07</v>
      </c>
      <c r="X10" t="str">
        <f t="shared" si="0"/>
        <v>08</v>
      </c>
      <c r="Y10" t="str">
        <f t="shared" si="0"/>
        <v>00</v>
      </c>
      <c r="Z10" t="str">
        <f t="shared" si="0"/>
        <v>80</v>
      </c>
      <c r="AA10" t="str">
        <f>RIGHT(LEFT($D10,2*AA$6),2)</f>
        <v>00</v>
      </c>
      <c r="AB10" t="str">
        <f t="shared" si="0"/>
        <v>60</v>
      </c>
      <c r="AC10" t="str">
        <f t="shared" si="6"/>
        <v>2C</v>
      </c>
      <c r="AD10">
        <f t="shared" si="7"/>
        <v>44</v>
      </c>
      <c r="AF10" t="str">
        <f t="shared" si="1"/>
        <v>02</v>
      </c>
      <c r="AG10" t="str">
        <f t="shared" si="1"/>
        <v>20</v>
      </c>
      <c r="AH10" t="str">
        <f t="shared" si="1"/>
        <v>E0</v>
      </c>
      <c r="AI10" t="str">
        <f t="shared" si="1"/>
        <v>04</v>
      </c>
      <c r="AJ10" t="str">
        <f t="shared" si="1"/>
        <v>00</v>
      </c>
      <c r="AK10" t="str">
        <f t="shared" si="1"/>
        <v>48</v>
      </c>
      <c r="AL10" t="str">
        <f t="shared" si="1"/>
        <v>30</v>
      </c>
      <c r="AM10" t="str">
        <f t="shared" si="1"/>
        <v>80</v>
      </c>
      <c r="AN10" t="str">
        <f t="shared" si="1"/>
        <v>31</v>
      </c>
      <c r="AO10" s="2" t="str">
        <f t="shared" si="1"/>
        <v>00</v>
      </c>
      <c r="AP10" t="str">
        <f t="shared" si="2"/>
        <v>00</v>
      </c>
      <c r="AQ10" t="str">
        <f t="shared" si="2"/>
        <v>0E</v>
      </c>
      <c r="AR10" t="str">
        <f t="shared" si="2"/>
        <v>E0</v>
      </c>
      <c r="AS10" t="str">
        <f t="shared" si="2"/>
        <v>10</v>
      </c>
      <c r="AT10" t="str">
        <f t="shared" si="2"/>
        <v>00</v>
      </c>
      <c r="AU10" t="str">
        <f t="shared" si="2"/>
        <v>01</v>
      </c>
      <c r="AV10" t="str">
        <f t="shared" si="2"/>
        <v>00</v>
      </c>
      <c r="AW10" t="str">
        <f t="shared" si="2"/>
        <v>06</v>
      </c>
      <c r="AX10" t="str">
        <f t="shared" si="2"/>
        <v>34</v>
      </c>
      <c r="AY10">
        <f t="shared" si="8"/>
        <v>52</v>
      </c>
      <c r="AZ10" s="3" t="str">
        <f t="shared" si="9"/>
        <v>00000010</v>
      </c>
      <c r="BA10" s="3" t="str">
        <f t="shared" si="10"/>
        <v>00100000</v>
      </c>
      <c r="BB10" s="3" t="str">
        <f t="shared" si="11"/>
        <v>11100000</v>
      </c>
      <c r="BC10" s="3" t="str">
        <f t="shared" si="12"/>
        <v>00000100</v>
      </c>
      <c r="BD10" s="3" t="str">
        <f t="shared" si="13"/>
        <v>00000000</v>
      </c>
      <c r="BE10" s="3" t="str">
        <f t="shared" si="14"/>
        <v>01001000</v>
      </c>
      <c r="BF10" s="3" t="str">
        <f t="shared" si="15"/>
        <v>00110000</v>
      </c>
      <c r="BG10" s="3" t="str">
        <f t="shared" si="16"/>
        <v>10000000</v>
      </c>
      <c r="BH10" s="3"/>
      <c r="BI10" s="3" t="str">
        <f t="shared" si="17"/>
        <v>00110001</v>
      </c>
      <c r="BJ10" s="6" t="str">
        <f t="shared" si="18"/>
        <v>00000000</v>
      </c>
      <c r="BK10" s="3"/>
      <c r="BL10" s="3" t="str">
        <f t="shared" si="19"/>
        <v>00000000</v>
      </c>
      <c r="BM10" s="3"/>
      <c r="BN10" s="3" t="str">
        <f t="shared" si="20"/>
        <v>00001110</v>
      </c>
      <c r="BO10" s="3"/>
      <c r="BP10" s="3" t="str">
        <f t="shared" si="21"/>
        <v>11100000</v>
      </c>
      <c r="BQ10" s="3"/>
      <c r="BR10" s="3" t="str">
        <f t="shared" si="22"/>
        <v>00010000</v>
      </c>
      <c r="BS10" s="3"/>
      <c r="BT10" s="3" t="str">
        <f t="shared" si="23"/>
        <v>00000000</v>
      </c>
      <c r="BU10" s="3" t="str">
        <f t="shared" si="24"/>
        <v>00000001</v>
      </c>
      <c r="BV10" s="3" t="str">
        <f t="shared" si="25"/>
        <v>00000000</v>
      </c>
      <c r="BW10" s="3" t="str">
        <f t="shared" si="26"/>
        <v>00000110</v>
      </c>
    </row>
    <row r="11" spans="1:75" x14ac:dyDescent="0.25">
      <c r="A11" t="s">
        <v>62</v>
      </c>
      <c r="B11" t="str">
        <f t="shared" si="4"/>
        <v>4004072000000060</v>
      </c>
      <c r="D11" t="str">
        <f>RIGHT(A11,(27*2)-16)</f>
        <v>40040720001274018C0000700708008000604C</v>
      </c>
      <c r="F11">
        <v>23</v>
      </c>
      <c r="G11" t="s">
        <v>0</v>
      </c>
      <c r="H11" t="s">
        <v>60</v>
      </c>
      <c r="I11" t="s">
        <v>61</v>
      </c>
      <c r="J11">
        <v>1</v>
      </c>
      <c r="K11" t="str">
        <f t="shared" si="5"/>
        <v>40</v>
      </c>
      <c r="L11" t="str">
        <f t="shared" si="0"/>
        <v>04</v>
      </c>
      <c r="M11" t="str">
        <f t="shared" si="0"/>
        <v>07</v>
      </c>
      <c r="N11" t="str">
        <f t="shared" si="0"/>
        <v>20</v>
      </c>
      <c r="O11" t="str">
        <f t="shared" si="0"/>
        <v>00</v>
      </c>
      <c r="P11" t="str">
        <f t="shared" si="0"/>
        <v>12</v>
      </c>
      <c r="Q11" t="str">
        <f t="shared" si="0"/>
        <v>74</v>
      </c>
      <c r="R11" t="str">
        <f t="shared" si="0"/>
        <v>01</v>
      </c>
      <c r="S11" t="str">
        <f t="shared" si="0"/>
        <v>8C</v>
      </c>
      <c r="T11" t="str">
        <f t="shared" si="0"/>
        <v>00</v>
      </c>
      <c r="U11" t="str">
        <f t="shared" si="0"/>
        <v>00</v>
      </c>
      <c r="V11" t="str">
        <f t="shared" si="0"/>
        <v>70</v>
      </c>
      <c r="W11" t="str">
        <f t="shared" si="0"/>
        <v>07</v>
      </c>
      <c r="X11" t="str">
        <f t="shared" si="0"/>
        <v>08</v>
      </c>
      <c r="Y11" t="str">
        <f t="shared" si="0"/>
        <v>00</v>
      </c>
      <c r="Z11" t="str">
        <f t="shared" si="0"/>
        <v>80</v>
      </c>
      <c r="AA11" t="str">
        <f t="shared" si="0"/>
        <v>00</v>
      </c>
      <c r="AB11" t="str">
        <f t="shared" si="0"/>
        <v>60</v>
      </c>
      <c r="AC11" t="str">
        <f t="shared" si="6"/>
        <v>4C</v>
      </c>
      <c r="AD11">
        <f t="shared" si="7"/>
        <v>76</v>
      </c>
      <c r="AF11" t="str">
        <f t="shared" si="1"/>
        <v>02</v>
      </c>
      <c r="AG11" t="str">
        <f t="shared" si="1"/>
        <v>20</v>
      </c>
      <c r="AH11" t="str">
        <f t="shared" si="1"/>
        <v>E0</v>
      </c>
      <c r="AI11" t="str">
        <f t="shared" si="1"/>
        <v>04</v>
      </c>
      <c r="AJ11" t="str">
        <f t="shared" si="1"/>
        <v>00</v>
      </c>
      <c r="AK11" t="str">
        <f t="shared" si="1"/>
        <v>48</v>
      </c>
      <c r="AL11" t="str">
        <f t="shared" si="1"/>
        <v>2E</v>
      </c>
      <c r="AM11" t="str">
        <f t="shared" si="1"/>
        <v>80</v>
      </c>
      <c r="AN11" t="str">
        <f t="shared" si="1"/>
        <v>31</v>
      </c>
      <c r="AO11" s="2" t="str">
        <f t="shared" si="1"/>
        <v>00</v>
      </c>
      <c r="AP11" t="str">
        <f t="shared" si="2"/>
        <v>00</v>
      </c>
      <c r="AQ11" t="str">
        <f t="shared" si="2"/>
        <v>0E</v>
      </c>
      <c r="AR11" t="str">
        <f t="shared" si="2"/>
        <v>E0</v>
      </c>
      <c r="AS11" t="str">
        <f t="shared" si="2"/>
        <v>10</v>
      </c>
      <c r="AT11" t="str">
        <f t="shared" si="2"/>
        <v>00</v>
      </c>
      <c r="AU11" t="str">
        <f t="shared" si="2"/>
        <v>01</v>
      </c>
      <c r="AV11" t="str">
        <f t="shared" si="2"/>
        <v>00</v>
      </c>
      <c r="AW11" t="str">
        <f t="shared" si="2"/>
        <v>06</v>
      </c>
      <c r="AX11" t="str">
        <f t="shared" si="2"/>
        <v>32</v>
      </c>
      <c r="AY11">
        <f t="shared" si="8"/>
        <v>50</v>
      </c>
      <c r="AZ11" s="3" t="str">
        <f t="shared" si="9"/>
        <v>00000010</v>
      </c>
      <c r="BA11" s="3" t="str">
        <f t="shared" si="10"/>
        <v>00100000</v>
      </c>
      <c r="BB11" s="3" t="str">
        <f t="shared" si="11"/>
        <v>11100000</v>
      </c>
      <c r="BC11" s="3" t="str">
        <f t="shared" si="12"/>
        <v>00000100</v>
      </c>
      <c r="BD11" s="3" t="str">
        <f t="shared" si="13"/>
        <v>00000000</v>
      </c>
      <c r="BE11" s="3" t="str">
        <f t="shared" si="14"/>
        <v>01001000</v>
      </c>
      <c r="BF11" s="3" t="str">
        <f t="shared" si="15"/>
        <v>00101110</v>
      </c>
      <c r="BG11" s="3" t="str">
        <f t="shared" si="16"/>
        <v>10000000</v>
      </c>
      <c r="BH11" s="3"/>
      <c r="BI11" s="3" t="str">
        <f t="shared" si="17"/>
        <v>00110001</v>
      </c>
      <c r="BJ11" s="6" t="str">
        <f t="shared" si="18"/>
        <v>00000000</v>
      </c>
      <c r="BK11" s="3"/>
      <c r="BL11" s="3" t="str">
        <f t="shared" si="19"/>
        <v>00000000</v>
      </c>
      <c r="BM11" s="3"/>
      <c r="BN11" s="3" t="str">
        <f t="shared" si="20"/>
        <v>00001110</v>
      </c>
      <c r="BO11" s="3"/>
      <c r="BP11" s="3" t="str">
        <f t="shared" si="21"/>
        <v>11100000</v>
      </c>
      <c r="BQ11" s="3"/>
      <c r="BR11" s="3" t="str">
        <f t="shared" si="22"/>
        <v>00010000</v>
      </c>
      <c r="BS11" s="3"/>
      <c r="BT11" s="3" t="str">
        <f t="shared" si="23"/>
        <v>00000000</v>
      </c>
      <c r="BU11" s="3" t="str">
        <f t="shared" si="24"/>
        <v>00000001</v>
      </c>
      <c r="BV11" s="3" t="str">
        <f t="shared" si="25"/>
        <v>00000000</v>
      </c>
      <c r="BW11" s="3" t="str">
        <f t="shared" si="26"/>
        <v>00000110</v>
      </c>
    </row>
    <row r="12" spans="1:75" x14ac:dyDescent="0.25">
      <c r="A12" t="s">
        <v>62</v>
      </c>
      <c r="B12" t="str">
        <f t="shared" si="4"/>
        <v>4004072000000060</v>
      </c>
      <c r="D12" t="str">
        <f t="shared" ref="D12:D14" si="27">RIGHT(A12,(27*2)-16)</f>
        <v>40040720001274018C0000700708008000604C</v>
      </c>
      <c r="F12">
        <v>22</v>
      </c>
      <c r="G12" t="s">
        <v>0</v>
      </c>
      <c r="H12" t="s">
        <v>60</v>
      </c>
      <c r="I12" t="s">
        <v>61</v>
      </c>
      <c r="J12">
        <v>2</v>
      </c>
      <c r="K12" t="str">
        <f t="shared" si="5"/>
        <v>40</v>
      </c>
      <c r="L12" t="str">
        <f t="shared" si="0"/>
        <v>04</v>
      </c>
      <c r="M12" t="str">
        <f t="shared" si="0"/>
        <v>07</v>
      </c>
      <c r="N12" t="str">
        <f t="shared" si="0"/>
        <v>20</v>
      </c>
      <c r="O12" t="str">
        <f t="shared" si="0"/>
        <v>00</v>
      </c>
      <c r="P12" t="str">
        <f t="shared" si="0"/>
        <v>12</v>
      </c>
      <c r="Q12" t="str">
        <f t="shared" si="0"/>
        <v>74</v>
      </c>
      <c r="R12" t="str">
        <f t="shared" si="0"/>
        <v>01</v>
      </c>
      <c r="S12" t="str">
        <f t="shared" si="0"/>
        <v>8C</v>
      </c>
      <c r="T12" t="str">
        <f t="shared" si="0"/>
        <v>00</v>
      </c>
      <c r="U12" t="str">
        <f t="shared" si="0"/>
        <v>00</v>
      </c>
      <c r="V12" t="str">
        <f t="shared" si="0"/>
        <v>70</v>
      </c>
      <c r="W12" t="str">
        <f t="shared" si="0"/>
        <v>07</v>
      </c>
      <c r="X12" t="str">
        <f t="shared" si="0"/>
        <v>08</v>
      </c>
      <c r="Y12" t="str">
        <f t="shared" si="0"/>
        <v>00</v>
      </c>
      <c r="Z12" t="str">
        <f t="shared" si="0"/>
        <v>80</v>
      </c>
      <c r="AA12" t="str">
        <f t="shared" si="0"/>
        <v>00</v>
      </c>
      <c r="AB12" t="str">
        <f t="shared" si="0"/>
        <v>60</v>
      </c>
      <c r="AC12" t="str">
        <f t="shared" si="6"/>
        <v>4C</v>
      </c>
      <c r="AD12">
        <f t="shared" si="7"/>
        <v>76</v>
      </c>
      <c r="AF12" t="str">
        <f t="shared" ref="AF12:AF14" si="28">BIN2HEX(ReverseText(HEX2BIN(K12,8)),2)</f>
        <v>02</v>
      </c>
      <c r="AG12" t="str">
        <f t="shared" ref="AG12:AG14" si="29">BIN2HEX(ReverseText(HEX2BIN(L12,8)),2)</f>
        <v>20</v>
      </c>
      <c r="AH12" t="str">
        <f t="shared" ref="AH12:AH14" si="30">BIN2HEX(ReverseText(HEX2BIN(M12,8)),2)</f>
        <v>E0</v>
      </c>
      <c r="AI12" t="str">
        <f t="shared" ref="AI12:AI14" si="31">BIN2HEX(ReverseText(HEX2BIN(N12,8)),2)</f>
        <v>04</v>
      </c>
      <c r="AJ12" t="str">
        <f t="shared" ref="AJ12:AJ14" si="32">BIN2HEX(ReverseText(HEX2BIN(O12,8)),2)</f>
        <v>00</v>
      </c>
      <c r="AK12" t="str">
        <f t="shared" ref="AK12:AK14" si="33">BIN2HEX(ReverseText(HEX2BIN(P12,8)),2)</f>
        <v>48</v>
      </c>
      <c r="AL12" t="str">
        <f t="shared" ref="AL12:AL14" si="34">BIN2HEX(ReverseText(HEX2BIN(Q12,8)),2)</f>
        <v>2E</v>
      </c>
      <c r="AM12" t="str">
        <f t="shared" ref="AM12:AM14" si="35">BIN2HEX(ReverseText(HEX2BIN(R12,8)),2)</f>
        <v>80</v>
      </c>
      <c r="AN12" t="str">
        <f t="shared" ref="AN12:AN14" si="36">BIN2HEX(ReverseText(HEX2BIN(S12,8)),2)</f>
        <v>31</v>
      </c>
      <c r="AO12" s="2" t="str">
        <f t="shared" ref="AO12:AO14" si="37">BIN2HEX(ReverseText(HEX2BIN(T12,8)),2)</f>
        <v>00</v>
      </c>
      <c r="AP12" t="str">
        <f t="shared" ref="AP12:AP14" si="38">BIN2HEX(ReverseText(HEX2BIN(U12,8)),2)</f>
        <v>00</v>
      </c>
      <c r="AQ12" t="str">
        <f t="shared" ref="AQ12:AQ14" si="39">BIN2HEX(ReverseText(HEX2BIN(V12,8)),2)</f>
        <v>0E</v>
      </c>
      <c r="AR12" t="str">
        <f t="shared" ref="AR12:AR14" si="40">BIN2HEX(ReverseText(HEX2BIN(W12,8)),2)</f>
        <v>E0</v>
      </c>
      <c r="AS12" t="str">
        <f t="shared" ref="AS12:AS14" si="41">BIN2HEX(ReverseText(HEX2BIN(X12,8)),2)</f>
        <v>10</v>
      </c>
      <c r="AT12" t="str">
        <f t="shared" ref="AT12:AT14" si="42">BIN2HEX(ReverseText(HEX2BIN(Y12,8)),2)</f>
        <v>00</v>
      </c>
      <c r="AU12" t="str">
        <f t="shared" ref="AU12:AU14" si="43">BIN2HEX(ReverseText(HEX2BIN(Z12,8)),2)</f>
        <v>01</v>
      </c>
      <c r="AV12" t="str">
        <f t="shared" ref="AV12:AV14" si="44">BIN2HEX(ReverseText(HEX2BIN(AA12,8)),2)</f>
        <v>00</v>
      </c>
      <c r="AW12" t="str">
        <f t="shared" ref="AW12:AW14" si="45">BIN2HEX(ReverseText(HEX2BIN(AB12,8)),2)</f>
        <v>06</v>
      </c>
      <c r="AX12" t="str">
        <f t="shared" ref="AX12:AX14" si="46">BIN2HEX(ReverseText(HEX2BIN(AC12,8)),2)</f>
        <v>32</v>
      </c>
      <c r="AY12">
        <f t="shared" si="8"/>
        <v>50</v>
      </c>
      <c r="AZ12" s="3" t="str">
        <f t="shared" ref="AZ12:AZ14" si="47">HEX2BIN(AF12,8)</f>
        <v>00000010</v>
      </c>
      <c r="BA12" s="3" t="str">
        <f t="shared" ref="BA12:BA14" si="48">HEX2BIN(AG12,8)</f>
        <v>00100000</v>
      </c>
      <c r="BB12" s="3" t="str">
        <f t="shared" ref="BB12:BB14" si="49">HEX2BIN(AH12,8)</f>
        <v>11100000</v>
      </c>
      <c r="BC12" s="3" t="str">
        <f t="shared" ref="BC12:BC14" si="50">HEX2BIN(AI12,8)</f>
        <v>00000100</v>
      </c>
      <c r="BD12" s="3" t="str">
        <f t="shared" ref="BD12:BD14" si="51">HEX2BIN(AJ12,8)</f>
        <v>00000000</v>
      </c>
      <c r="BE12" s="3" t="str">
        <f t="shared" ref="BE12:BE14" si="52">HEX2BIN(AK12,8)</f>
        <v>01001000</v>
      </c>
      <c r="BF12" s="3" t="str">
        <f t="shared" ref="BF12:BF14" si="53">HEX2BIN(AL12,8)</f>
        <v>00101110</v>
      </c>
      <c r="BG12" s="3" t="str">
        <f t="shared" ref="BG12:BG14" si="54">HEX2BIN(AM12,8)</f>
        <v>10000000</v>
      </c>
      <c r="BH12" s="3"/>
      <c r="BI12" s="3" t="str">
        <f t="shared" ref="BI12:BI14" si="55">HEX2BIN(AN12,8)</f>
        <v>00110001</v>
      </c>
      <c r="BJ12" s="6" t="str">
        <f t="shared" ref="BJ12:BJ14" si="56">HEX2BIN(AO12,8)</f>
        <v>00000000</v>
      </c>
      <c r="BK12" s="3"/>
      <c r="BL12" s="3" t="str">
        <f t="shared" ref="BL12:BL14" si="57">HEX2BIN(AP12,8)</f>
        <v>00000000</v>
      </c>
      <c r="BM12" s="3"/>
      <c r="BN12" s="3" t="str">
        <f t="shared" ref="BN12:BN14" si="58">HEX2BIN(AQ12,8)</f>
        <v>00001110</v>
      </c>
      <c r="BO12" s="3"/>
      <c r="BP12" s="3" t="str">
        <f t="shared" ref="BP12:BP14" si="59">HEX2BIN(AR12,8)</f>
        <v>11100000</v>
      </c>
      <c r="BQ12" s="3"/>
      <c r="BR12" s="3" t="str">
        <f t="shared" ref="BR12:BR14" si="60">HEX2BIN(AS12,8)</f>
        <v>00010000</v>
      </c>
      <c r="BS12" s="3"/>
      <c r="BT12" s="3" t="str">
        <f t="shared" ref="BT12:BT14" si="61">HEX2BIN(AT12,8)</f>
        <v>00000000</v>
      </c>
      <c r="BU12" s="3" t="str">
        <f t="shared" ref="BU12:BU14" si="62">HEX2BIN(AU12,8)</f>
        <v>00000001</v>
      </c>
      <c r="BV12" s="3" t="str">
        <f t="shared" ref="BV12:BV14" si="63">HEX2BIN(AV12,8)</f>
        <v>00000000</v>
      </c>
      <c r="BW12" s="3" t="str">
        <f t="shared" ref="BW12:BW14" si="64">HEX2BIN(AW12,8)</f>
        <v>00000110</v>
      </c>
    </row>
    <row r="13" spans="1:75" x14ac:dyDescent="0.25">
      <c r="A13" t="s">
        <v>64</v>
      </c>
      <c r="B13" t="str">
        <f t="shared" si="4"/>
        <v>4004072000000060</v>
      </c>
      <c r="D13" t="str">
        <f t="shared" si="27"/>
        <v>40040720001234018C0000700708008000600C</v>
      </c>
      <c r="F13">
        <v>22</v>
      </c>
      <c r="G13" t="s">
        <v>0</v>
      </c>
      <c r="H13" t="s">
        <v>60</v>
      </c>
      <c r="I13" t="s">
        <v>61</v>
      </c>
      <c r="J13">
        <v>3</v>
      </c>
      <c r="K13" t="str">
        <f t="shared" si="5"/>
        <v>40</v>
      </c>
      <c r="L13" t="str">
        <f t="shared" si="0"/>
        <v>04</v>
      </c>
      <c r="M13" t="str">
        <f t="shared" si="0"/>
        <v>07</v>
      </c>
      <c r="N13" t="str">
        <f t="shared" si="0"/>
        <v>20</v>
      </c>
      <c r="O13" t="str">
        <f t="shared" si="0"/>
        <v>00</v>
      </c>
      <c r="P13" t="str">
        <f t="shared" si="0"/>
        <v>12</v>
      </c>
      <c r="Q13" t="str">
        <f t="shared" si="0"/>
        <v>34</v>
      </c>
      <c r="R13" t="str">
        <f t="shared" si="0"/>
        <v>01</v>
      </c>
      <c r="S13" t="str">
        <f t="shared" si="0"/>
        <v>8C</v>
      </c>
      <c r="T13" t="str">
        <f t="shared" si="0"/>
        <v>00</v>
      </c>
      <c r="U13" t="str">
        <f t="shared" si="0"/>
        <v>00</v>
      </c>
      <c r="V13" t="str">
        <f t="shared" si="0"/>
        <v>70</v>
      </c>
      <c r="W13" t="str">
        <f t="shared" si="0"/>
        <v>07</v>
      </c>
      <c r="X13" t="str">
        <f t="shared" si="0"/>
        <v>08</v>
      </c>
      <c r="Y13" t="str">
        <f t="shared" si="0"/>
        <v>00</v>
      </c>
      <c r="Z13" t="str">
        <f t="shared" si="0"/>
        <v>80</v>
      </c>
      <c r="AA13" t="str">
        <f t="shared" si="0"/>
        <v>00</v>
      </c>
      <c r="AB13" t="str">
        <f t="shared" si="0"/>
        <v>60</v>
      </c>
      <c r="AC13" t="str">
        <f t="shared" si="6"/>
        <v>0C</v>
      </c>
      <c r="AD13">
        <f t="shared" si="7"/>
        <v>12</v>
      </c>
      <c r="AF13" t="str">
        <f t="shared" si="28"/>
        <v>02</v>
      </c>
      <c r="AG13" t="str">
        <f t="shared" si="29"/>
        <v>20</v>
      </c>
      <c r="AH13" t="str">
        <f t="shared" si="30"/>
        <v>E0</v>
      </c>
      <c r="AI13" t="str">
        <f t="shared" si="31"/>
        <v>04</v>
      </c>
      <c r="AJ13" t="str">
        <f t="shared" si="32"/>
        <v>00</v>
      </c>
      <c r="AK13" t="str">
        <f t="shared" si="33"/>
        <v>48</v>
      </c>
      <c r="AL13" t="str">
        <f t="shared" si="34"/>
        <v>2C</v>
      </c>
      <c r="AM13" t="str">
        <f t="shared" si="35"/>
        <v>80</v>
      </c>
      <c r="AN13" t="str">
        <f t="shared" si="36"/>
        <v>31</v>
      </c>
      <c r="AO13" s="2" t="str">
        <f t="shared" si="37"/>
        <v>00</v>
      </c>
      <c r="AP13" t="str">
        <f t="shared" si="38"/>
        <v>00</v>
      </c>
      <c r="AQ13" t="str">
        <f t="shared" si="39"/>
        <v>0E</v>
      </c>
      <c r="AR13" t="str">
        <f t="shared" si="40"/>
        <v>E0</v>
      </c>
      <c r="AS13" t="str">
        <f t="shared" si="41"/>
        <v>10</v>
      </c>
      <c r="AT13" t="str">
        <f t="shared" si="42"/>
        <v>00</v>
      </c>
      <c r="AU13" t="str">
        <f t="shared" si="43"/>
        <v>01</v>
      </c>
      <c r="AV13" t="str">
        <f t="shared" si="44"/>
        <v>00</v>
      </c>
      <c r="AW13" t="str">
        <f t="shared" si="45"/>
        <v>06</v>
      </c>
      <c r="AX13" t="str">
        <f t="shared" si="46"/>
        <v>30</v>
      </c>
      <c r="AY13">
        <f t="shared" si="8"/>
        <v>48</v>
      </c>
      <c r="AZ13" s="3" t="str">
        <f t="shared" si="47"/>
        <v>00000010</v>
      </c>
      <c r="BA13" s="3" t="str">
        <f t="shared" si="48"/>
        <v>00100000</v>
      </c>
      <c r="BB13" s="3" t="str">
        <f t="shared" si="49"/>
        <v>11100000</v>
      </c>
      <c r="BC13" s="3" t="str">
        <f t="shared" si="50"/>
        <v>00000100</v>
      </c>
      <c r="BD13" s="3" t="str">
        <f t="shared" si="51"/>
        <v>00000000</v>
      </c>
      <c r="BE13" s="3" t="str">
        <f t="shared" si="52"/>
        <v>01001000</v>
      </c>
      <c r="BF13" s="3" t="str">
        <f t="shared" si="53"/>
        <v>00101100</v>
      </c>
      <c r="BG13" s="3" t="str">
        <f t="shared" si="54"/>
        <v>10000000</v>
      </c>
      <c r="BH13" s="3"/>
      <c r="BI13" s="3" t="str">
        <f t="shared" si="55"/>
        <v>00110001</v>
      </c>
      <c r="BJ13" s="6" t="str">
        <f t="shared" si="56"/>
        <v>00000000</v>
      </c>
      <c r="BK13" s="3"/>
      <c r="BL13" s="3" t="str">
        <f t="shared" si="57"/>
        <v>00000000</v>
      </c>
      <c r="BM13" s="3"/>
      <c r="BN13" s="3" t="str">
        <f t="shared" si="58"/>
        <v>00001110</v>
      </c>
      <c r="BO13" s="3"/>
      <c r="BP13" s="3" t="str">
        <f t="shared" si="59"/>
        <v>11100000</v>
      </c>
      <c r="BQ13" s="3"/>
      <c r="BR13" s="3" t="str">
        <f t="shared" si="60"/>
        <v>00010000</v>
      </c>
      <c r="BS13" s="3"/>
      <c r="BT13" s="3" t="str">
        <f t="shared" si="61"/>
        <v>00000000</v>
      </c>
      <c r="BU13" s="3" t="str">
        <f t="shared" si="62"/>
        <v>00000001</v>
      </c>
      <c r="BV13" s="3" t="str">
        <f t="shared" si="63"/>
        <v>00000000</v>
      </c>
      <c r="BW13" s="3" t="str">
        <f t="shared" si="64"/>
        <v>00000110</v>
      </c>
    </row>
    <row r="14" spans="1:75" x14ac:dyDescent="0.25">
      <c r="A14" t="s">
        <v>65</v>
      </c>
      <c r="B14" t="str">
        <f t="shared" si="4"/>
        <v>4004072000000060</v>
      </c>
      <c r="D14" t="str">
        <f t="shared" si="27"/>
        <v>40040720001254018C00007007080080006074</v>
      </c>
      <c r="F14">
        <v>21</v>
      </c>
      <c r="G14" t="s">
        <v>0</v>
      </c>
      <c r="H14" t="s">
        <v>60</v>
      </c>
      <c r="I14" t="s">
        <v>61</v>
      </c>
      <c r="J14">
        <v>4</v>
      </c>
      <c r="K14" t="str">
        <f t="shared" si="5"/>
        <v>40</v>
      </c>
      <c r="L14" t="str">
        <f t="shared" si="0"/>
        <v>04</v>
      </c>
      <c r="M14" t="str">
        <f t="shared" si="0"/>
        <v>07</v>
      </c>
      <c r="N14" t="str">
        <f t="shared" si="0"/>
        <v>20</v>
      </c>
      <c r="O14" t="str">
        <f t="shared" si="0"/>
        <v>00</v>
      </c>
      <c r="P14" t="str">
        <f t="shared" si="0"/>
        <v>12</v>
      </c>
      <c r="Q14" t="str">
        <f t="shared" si="0"/>
        <v>54</v>
      </c>
      <c r="R14" t="str">
        <f t="shared" si="0"/>
        <v>01</v>
      </c>
      <c r="S14" t="str">
        <f t="shared" si="0"/>
        <v>8C</v>
      </c>
      <c r="T14" t="str">
        <f t="shared" si="0"/>
        <v>00</v>
      </c>
      <c r="U14" t="str">
        <f t="shared" si="0"/>
        <v>00</v>
      </c>
      <c r="V14" t="str">
        <f t="shared" si="0"/>
        <v>70</v>
      </c>
      <c r="W14" t="str">
        <f t="shared" si="0"/>
        <v>07</v>
      </c>
      <c r="X14" t="str">
        <f t="shared" si="0"/>
        <v>08</v>
      </c>
      <c r="Y14" t="str">
        <f t="shared" si="0"/>
        <v>00</v>
      </c>
      <c r="Z14" t="str">
        <f t="shared" si="0"/>
        <v>80</v>
      </c>
      <c r="AA14" t="str">
        <f t="shared" si="0"/>
        <v>00</v>
      </c>
      <c r="AB14" t="str">
        <f t="shared" si="0"/>
        <v>60</v>
      </c>
      <c r="AC14" t="str">
        <f t="shared" si="6"/>
        <v>74</v>
      </c>
      <c r="AD14">
        <f t="shared" si="7"/>
        <v>116</v>
      </c>
      <c r="AF14" t="str">
        <f t="shared" si="28"/>
        <v>02</v>
      </c>
      <c r="AG14" t="str">
        <f t="shared" si="29"/>
        <v>20</v>
      </c>
      <c r="AH14" t="str">
        <f t="shared" si="30"/>
        <v>E0</v>
      </c>
      <c r="AI14" t="str">
        <f t="shared" si="31"/>
        <v>04</v>
      </c>
      <c r="AJ14" t="str">
        <f t="shared" si="32"/>
        <v>00</v>
      </c>
      <c r="AK14" t="str">
        <f t="shared" si="33"/>
        <v>48</v>
      </c>
      <c r="AL14" t="str">
        <f t="shared" si="34"/>
        <v>2A</v>
      </c>
      <c r="AM14" t="str">
        <f t="shared" si="35"/>
        <v>80</v>
      </c>
      <c r="AN14" t="str">
        <f t="shared" si="36"/>
        <v>31</v>
      </c>
      <c r="AO14" s="2" t="str">
        <f t="shared" si="37"/>
        <v>00</v>
      </c>
      <c r="AP14" t="str">
        <f t="shared" si="38"/>
        <v>00</v>
      </c>
      <c r="AQ14" t="str">
        <f t="shared" si="39"/>
        <v>0E</v>
      </c>
      <c r="AR14" t="str">
        <f t="shared" si="40"/>
        <v>E0</v>
      </c>
      <c r="AS14" t="str">
        <f t="shared" si="41"/>
        <v>10</v>
      </c>
      <c r="AT14" t="str">
        <f t="shared" si="42"/>
        <v>00</v>
      </c>
      <c r="AU14" t="str">
        <f t="shared" si="43"/>
        <v>01</v>
      </c>
      <c r="AV14" t="str">
        <f t="shared" si="44"/>
        <v>00</v>
      </c>
      <c r="AW14" t="str">
        <f t="shared" si="45"/>
        <v>06</v>
      </c>
      <c r="AX14" t="str">
        <f t="shared" si="46"/>
        <v>2E</v>
      </c>
      <c r="AY14">
        <f t="shared" si="8"/>
        <v>46</v>
      </c>
      <c r="AZ14" s="3" t="str">
        <f t="shared" si="47"/>
        <v>00000010</v>
      </c>
      <c r="BA14" s="3" t="str">
        <f t="shared" si="48"/>
        <v>00100000</v>
      </c>
      <c r="BB14" s="3" t="str">
        <f t="shared" si="49"/>
        <v>11100000</v>
      </c>
      <c r="BC14" s="3" t="str">
        <f t="shared" si="50"/>
        <v>00000100</v>
      </c>
      <c r="BD14" s="3" t="str">
        <f t="shared" si="51"/>
        <v>00000000</v>
      </c>
      <c r="BE14" s="3" t="str">
        <f t="shared" si="52"/>
        <v>01001000</v>
      </c>
      <c r="BF14" s="3" t="str">
        <f t="shared" si="53"/>
        <v>00101010</v>
      </c>
      <c r="BG14" s="3" t="str">
        <f t="shared" si="54"/>
        <v>10000000</v>
      </c>
      <c r="BH14" s="3"/>
      <c r="BI14" s="3" t="str">
        <f t="shared" si="55"/>
        <v>00110001</v>
      </c>
      <c r="BJ14" s="6" t="str">
        <f t="shared" si="56"/>
        <v>00000000</v>
      </c>
      <c r="BK14" s="3"/>
      <c r="BL14" s="3" t="str">
        <f t="shared" si="57"/>
        <v>00000000</v>
      </c>
      <c r="BM14" s="3"/>
      <c r="BN14" s="3" t="str">
        <f t="shared" si="58"/>
        <v>00001110</v>
      </c>
      <c r="BO14" s="3"/>
      <c r="BP14" s="3" t="str">
        <f t="shared" si="59"/>
        <v>11100000</v>
      </c>
      <c r="BQ14" s="3"/>
      <c r="BR14" s="3" t="str">
        <f t="shared" si="60"/>
        <v>00010000</v>
      </c>
      <c r="BS14" s="3"/>
      <c r="BT14" s="3" t="str">
        <f t="shared" si="61"/>
        <v>00000000</v>
      </c>
      <c r="BU14" s="3" t="str">
        <f t="shared" si="62"/>
        <v>00000001</v>
      </c>
      <c r="BV14" s="3" t="str">
        <f t="shared" si="63"/>
        <v>00000000</v>
      </c>
      <c r="BW14" s="3" t="str">
        <f t="shared" si="64"/>
        <v>00000110</v>
      </c>
    </row>
    <row r="15" spans="1:75" x14ac:dyDescent="0.25">
      <c r="A15" t="s">
        <v>66</v>
      </c>
      <c r="B15" t="str">
        <f t="shared" si="4"/>
        <v>4004072000000060</v>
      </c>
      <c r="D15" t="str">
        <f t="shared" ref="D15" si="65">RIGHT(A15,(27*2)-16)</f>
        <v>40040720009254018C000070070800800060F4</v>
      </c>
      <c r="F15">
        <v>21</v>
      </c>
      <c r="G15" t="s">
        <v>20</v>
      </c>
      <c r="H15" t="s">
        <v>60</v>
      </c>
      <c r="I15" t="s">
        <v>61</v>
      </c>
      <c r="J15">
        <v>4</v>
      </c>
      <c r="K15" t="str">
        <f t="shared" si="5"/>
        <v>40</v>
      </c>
      <c r="L15" t="str">
        <f t="shared" si="0"/>
        <v>04</v>
      </c>
      <c r="M15" t="str">
        <f t="shared" si="0"/>
        <v>07</v>
      </c>
      <c r="N15" t="str">
        <f t="shared" si="0"/>
        <v>20</v>
      </c>
      <c r="O15" t="str">
        <f t="shared" si="0"/>
        <v>00</v>
      </c>
      <c r="P15" t="str">
        <f t="shared" si="0"/>
        <v>92</v>
      </c>
      <c r="Q15" t="str">
        <f t="shared" si="0"/>
        <v>54</v>
      </c>
      <c r="R15" t="str">
        <f t="shared" si="0"/>
        <v>01</v>
      </c>
      <c r="S15" t="str">
        <f t="shared" si="0"/>
        <v>8C</v>
      </c>
      <c r="T15" t="str">
        <f t="shared" si="0"/>
        <v>00</v>
      </c>
      <c r="U15" t="str">
        <f t="shared" si="0"/>
        <v>00</v>
      </c>
      <c r="V15" t="str">
        <f t="shared" si="0"/>
        <v>70</v>
      </c>
      <c r="W15" t="str">
        <f t="shared" si="0"/>
        <v>07</v>
      </c>
      <c r="X15" t="str">
        <f t="shared" si="0"/>
        <v>08</v>
      </c>
      <c r="Y15" t="str">
        <f t="shared" si="0"/>
        <v>00</v>
      </c>
      <c r="Z15" t="str">
        <f t="shared" si="0"/>
        <v>80</v>
      </c>
      <c r="AA15" t="str">
        <f t="shared" si="0"/>
        <v>00</v>
      </c>
      <c r="AB15" t="str">
        <f t="shared" si="0"/>
        <v>60</v>
      </c>
      <c r="AC15" t="str">
        <f t="shared" si="6"/>
        <v>F4</v>
      </c>
      <c r="AD15">
        <f t="shared" si="7"/>
        <v>244</v>
      </c>
      <c r="AF15" t="str">
        <f t="shared" ref="AF15" si="66">BIN2HEX(ReverseText(HEX2BIN(K15,8)),2)</f>
        <v>02</v>
      </c>
      <c r="AG15" t="str">
        <f t="shared" ref="AG15" si="67">BIN2HEX(ReverseText(HEX2BIN(L15,8)),2)</f>
        <v>20</v>
      </c>
      <c r="AH15" t="str">
        <f t="shared" ref="AH15" si="68">BIN2HEX(ReverseText(HEX2BIN(M15,8)),2)</f>
        <v>E0</v>
      </c>
      <c r="AI15" t="str">
        <f t="shared" ref="AI15" si="69">BIN2HEX(ReverseText(HEX2BIN(N15,8)),2)</f>
        <v>04</v>
      </c>
      <c r="AJ15" t="str">
        <f t="shared" ref="AJ15" si="70">BIN2HEX(ReverseText(HEX2BIN(O15,8)),2)</f>
        <v>00</v>
      </c>
      <c r="AK15" t="str">
        <f t="shared" ref="AK15" si="71">BIN2HEX(ReverseText(HEX2BIN(P15,8)),2)</f>
        <v>49</v>
      </c>
      <c r="AL15" t="str">
        <f t="shared" ref="AL15" si="72">BIN2HEX(ReverseText(HEX2BIN(Q15,8)),2)</f>
        <v>2A</v>
      </c>
      <c r="AM15" t="str">
        <f t="shared" ref="AM15" si="73">BIN2HEX(ReverseText(HEX2BIN(R15,8)),2)</f>
        <v>80</v>
      </c>
      <c r="AN15" t="str">
        <f t="shared" ref="AN15" si="74">BIN2HEX(ReverseText(HEX2BIN(S15,8)),2)</f>
        <v>31</v>
      </c>
      <c r="AO15" s="2" t="str">
        <f t="shared" ref="AO15" si="75">BIN2HEX(ReverseText(HEX2BIN(T15,8)),2)</f>
        <v>00</v>
      </c>
      <c r="AP15" t="str">
        <f t="shared" ref="AP15" si="76">BIN2HEX(ReverseText(HEX2BIN(U15,8)),2)</f>
        <v>00</v>
      </c>
      <c r="AQ15" t="str">
        <f t="shared" ref="AQ15" si="77">BIN2HEX(ReverseText(HEX2BIN(V15,8)),2)</f>
        <v>0E</v>
      </c>
      <c r="AR15" t="str">
        <f t="shared" ref="AR15" si="78">BIN2HEX(ReverseText(HEX2BIN(W15,8)),2)</f>
        <v>E0</v>
      </c>
      <c r="AS15" t="str">
        <f t="shared" ref="AS15" si="79">BIN2HEX(ReverseText(HEX2BIN(X15,8)),2)</f>
        <v>10</v>
      </c>
      <c r="AT15" t="str">
        <f t="shared" ref="AT15" si="80">BIN2HEX(ReverseText(HEX2BIN(Y15,8)),2)</f>
        <v>00</v>
      </c>
      <c r="AU15" t="str">
        <f t="shared" ref="AU15" si="81">BIN2HEX(ReverseText(HEX2BIN(Z15,8)),2)</f>
        <v>01</v>
      </c>
      <c r="AV15" t="str">
        <f t="shared" ref="AV15" si="82">BIN2HEX(ReverseText(HEX2BIN(AA15,8)),2)</f>
        <v>00</v>
      </c>
      <c r="AW15" t="str">
        <f t="shared" ref="AW15" si="83">BIN2HEX(ReverseText(HEX2BIN(AB15,8)),2)</f>
        <v>06</v>
      </c>
      <c r="AX15" t="str">
        <f t="shared" ref="AX15" si="84">BIN2HEX(ReverseText(HEX2BIN(AC15,8)),2)</f>
        <v>2F</v>
      </c>
      <c r="AY15">
        <f t="shared" si="8"/>
        <v>47</v>
      </c>
      <c r="AZ15" s="3" t="str">
        <f t="shared" ref="AZ15" si="85">HEX2BIN(AF15,8)</f>
        <v>00000010</v>
      </c>
      <c r="BA15" s="3" t="str">
        <f t="shared" ref="BA15" si="86">HEX2BIN(AG15,8)</f>
        <v>00100000</v>
      </c>
      <c r="BB15" s="3" t="str">
        <f t="shared" ref="BB15" si="87">HEX2BIN(AH15,8)</f>
        <v>11100000</v>
      </c>
      <c r="BC15" s="3" t="str">
        <f t="shared" ref="BC15" si="88">HEX2BIN(AI15,8)</f>
        <v>00000100</v>
      </c>
      <c r="BD15" s="3" t="str">
        <f t="shared" ref="BD15" si="89">HEX2BIN(AJ15,8)</f>
        <v>00000000</v>
      </c>
      <c r="BE15" s="3" t="str">
        <f t="shared" ref="BE15" si="90">HEX2BIN(AK15,8)</f>
        <v>01001001</v>
      </c>
      <c r="BF15" s="3" t="str">
        <f t="shared" ref="BF15" si="91">HEX2BIN(AL15,8)</f>
        <v>00101010</v>
      </c>
      <c r="BG15" s="3" t="str">
        <f t="shared" ref="BG15" si="92">HEX2BIN(AM15,8)</f>
        <v>10000000</v>
      </c>
      <c r="BH15" s="3"/>
      <c r="BI15" s="3" t="str">
        <f t="shared" ref="BI15" si="93">HEX2BIN(AN15,8)</f>
        <v>00110001</v>
      </c>
      <c r="BJ15" s="6" t="str">
        <f t="shared" ref="BJ15" si="94">HEX2BIN(AO15,8)</f>
        <v>00000000</v>
      </c>
      <c r="BK15" s="3"/>
      <c r="BL15" s="3" t="str">
        <f t="shared" ref="BL15" si="95">HEX2BIN(AP15,8)</f>
        <v>00000000</v>
      </c>
      <c r="BM15" s="3"/>
      <c r="BN15" s="3" t="str">
        <f t="shared" ref="BN15" si="96">HEX2BIN(AQ15,8)</f>
        <v>00001110</v>
      </c>
      <c r="BO15" s="3"/>
      <c r="BP15" s="3" t="str">
        <f t="shared" ref="BP15" si="97">HEX2BIN(AR15,8)</f>
        <v>11100000</v>
      </c>
      <c r="BQ15" s="3"/>
      <c r="BR15" s="3" t="str">
        <f t="shared" ref="BR15" si="98">HEX2BIN(AS15,8)</f>
        <v>00010000</v>
      </c>
      <c r="BS15" s="3"/>
      <c r="BT15" s="3" t="str">
        <f t="shared" ref="BT15" si="99">HEX2BIN(AT15,8)</f>
        <v>00000000</v>
      </c>
      <c r="BU15" s="3" t="str">
        <f t="shared" ref="BU15" si="100">HEX2BIN(AU15,8)</f>
        <v>00000001</v>
      </c>
      <c r="BV15" s="3" t="str">
        <f t="shared" ref="BV15" si="101">HEX2BIN(AV15,8)</f>
        <v>00000000</v>
      </c>
      <c r="BW15" s="3" t="str">
        <f t="shared" ref="BW15" si="102">HEX2BIN(AW15,8)</f>
        <v>00000110</v>
      </c>
    </row>
    <row r="17" spans="11:60" x14ac:dyDescent="0.25">
      <c r="K17" t="str">
        <f>"0x"&amp;K7</f>
        <v>0x40</v>
      </c>
      <c r="L17" t="str">
        <f>K17&amp;",0x"&amp;L7</f>
        <v>0x40,0x04</v>
      </c>
      <c r="M17" t="str">
        <f t="shared" ref="M17:AC17" si="103">L17&amp;",0x"&amp;M7</f>
        <v>0x40,0x04,0x07</v>
      </c>
      <c r="N17" t="str">
        <f t="shared" si="103"/>
        <v>0x40,0x04,0x07,0x20</v>
      </c>
      <c r="O17" t="str">
        <f t="shared" si="103"/>
        <v>0x40,0x04,0x07,0x20,0x00</v>
      </c>
      <c r="P17" t="str">
        <f t="shared" si="103"/>
        <v>0x40,0x04,0x07,0x20,0x00,0x92</v>
      </c>
      <c r="Q17" t="str">
        <f t="shared" si="103"/>
        <v>0x40,0x04,0x07,0x20,0x00,0x92,0x34</v>
      </c>
      <c r="R17" t="str">
        <f t="shared" si="103"/>
        <v>0x40,0x04,0x07,0x20,0x00,0x92,0x34,0x01</v>
      </c>
      <c r="S17" t="str">
        <f t="shared" si="103"/>
        <v>0x40,0x04,0x07,0x20,0x00,0x92,0x34,0x01,0x8C</v>
      </c>
      <c r="T17" t="str">
        <f t="shared" si="103"/>
        <v>0x40,0x04,0x07,0x20,0x00,0x92,0x34,0x01,0x8C,0x00</v>
      </c>
      <c r="U17" t="str">
        <f t="shared" si="103"/>
        <v>0x40,0x04,0x07,0x20,0x00,0x92,0x34,0x01,0x8C,0x00,0x00</v>
      </c>
      <c r="V17" t="str">
        <f t="shared" si="103"/>
        <v>0x40,0x04,0x07,0x20,0x00,0x92,0x34,0x01,0x8C,0x00,0x00,0x70</v>
      </c>
      <c r="W17" t="str">
        <f t="shared" si="103"/>
        <v>0x40,0x04,0x07,0x20,0x00,0x92,0x34,0x01,0x8C,0x00,0x00,0x70,0x07</v>
      </c>
      <c r="X17" t="str">
        <f t="shared" si="103"/>
        <v>0x40,0x04,0x07,0x20,0x00,0x92,0x34,0x01,0x8C,0x00,0x00,0x70,0x07,0x08</v>
      </c>
      <c r="Y17" t="str">
        <f t="shared" si="103"/>
        <v>0x40,0x04,0x07,0x20,0x00,0x92,0x34,0x01,0x8C,0x00,0x00,0x70,0x07,0x08,0x00</v>
      </c>
      <c r="Z17" t="str">
        <f t="shared" si="103"/>
        <v>0x40,0x04,0x07,0x20,0x00,0x92,0x34,0x01,0x8C,0x00,0x00,0x70,0x07,0x08,0x00,0x80</v>
      </c>
      <c r="AA17" t="str">
        <f t="shared" si="103"/>
        <v>0x40,0x04,0x07,0x20,0x00,0x92,0x34,0x01,0x8C,0x00,0x00,0x70,0x07,0x08,0x00,0x80,0x00</v>
      </c>
      <c r="AB17" t="str">
        <f t="shared" si="103"/>
        <v>0x40,0x04,0x07,0x20,0x00,0x92,0x34,0x01,0x8C,0x00,0x00,0x70,0x07,0x08,0x00,0x80,0x00,0x60</v>
      </c>
      <c r="AC17" t="str">
        <f t="shared" si="103"/>
        <v>0x40,0x04,0x07,0x20,0x00,0x92,0x34,0x01,0x8C,0x00,0x00,0x70,0x07,0x08,0x00,0x80,0x00,0x60,0x8C</v>
      </c>
      <c r="BG17">
        <f>143/6</f>
        <v>23.833333333333332</v>
      </c>
      <c r="BH17">
        <f>0.83*60</f>
        <v>49.8</v>
      </c>
    </row>
  </sheetData>
  <pageMargins left="0.7" right="0.7" top="0.75" bottom="0.75" header="0.3" footer="0.3"/>
  <pageSetup paperSize="9" orientation="portrait" horizontalDpi="0" verticalDpi="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42"/>
  <sheetViews>
    <sheetView workbookViewId="0">
      <selection activeCell="A18" sqref="A18"/>
    </sheetView>
  </sheetViews>
  <sheetFormatPr baseColWidth="10" defaultRowHeight="15" x14ac:dyDescent="0.25"/>
  <sheetData>
    <row r="1" spans="1:1" x14ac:dyDescent="0.25">
      <c r="A1" t="s">
        <v>3</v>
      </c>
    </row>
    <row r="2" spans="1:1" x14ac:dyDescent="0.25">
      <c r="A2" t="s">
        <v>4</v>
      </c>
    </row>
    <row r="3" spans="1:1" x14ac:dyDescent="0.25">
      <c r="A3" t="s">
        <v>5</v>
      </c>
    </row>
    <row r="4" spans="1:1" x14ac:dyDescent="0.25">
      <c r="A4" t="s">
        <v>6</v>
      </c>
    </row>
    <row r="5" spans="1:1" x14ac:dyDescent="0.25">
      <c r="A5" t="s">
        <v>7</v>
      </c>
    </row>
    <row r="6" spans="1:1" x14ac:dyDescent="0.25">
      <c r="A6" t="s">
        <v>8</v>
      </c>
    </row>
    <row r="7" spans="1:1" x14ac:dyDescent="0.25">
      <c r="A7" t="s">
        <v>9</v>
      </c>
    </row>
    <row r="8" spans="1:1" x14ac:dyDescent="0.25">
      <c r="A8" t="s">
        <v>10</v>
      </c>
    </row>
    <row r="9" spans="1:1" x14ac:dyDescent="0.25">
      <c r="A9" t="s">
        <v>11</v>
      </c>
    </row>
    <row r="10" spans="1:1" x14ac:dyDescent="0.25">
      <c r="A10" t="s">
        <v>12</v>
      </c>
    </row>
    <row r="12" spans="1:1" x14ac:dyDescent="0.25">
      <c r="A12" t="s">
        <v>3</v>
      </c>
    </row>
    <row r="13" spans="1:1" x14ac:dyDescent="0.25">
      <c r="A13" t="s">
        <v>4</v>
      </c>
    </row>
    <row r="14" spans="1:1" x14ac:dyDescent="0.25">
      <c r="A14" t="s">
        <v>5</v>
      </c>
    </row>
    <row r="15" spans="1:1" x14ac:dyDescent="0.25">
      <c r="A15" t="s">
        <v>6</v>
      </c>
    </row>
    <row r="16" spans="1:1" x14ac:dyDescent="0.25">
      <c r="A16" t="s">
        <v>7</v>
      </c>
    </row>
    <row r="17" spans="1:1" x14ac:dyDescent="0.25">
      <c r="A17" t="s">
        <v>40</v>
      </c>
    </row>
    <row r="18" spans="1:1" x14ac:dyDescent="0.25">
      <c r="A18" t="s">
        <v>41</v>
      </c>
    </row>
    <row r="19" spans="1:1" x14ac:dyDescent="0.25">
      <c r="A19" t="s">
        <v>42</v>
      </c>
    </row>
    <row r="20" spans="1:1" x14ac:dyDescent="0.25">
      <c r="A20" t="s">
        <v>12</v>
      </c>
    </row>
    <row r="22" spans="1:1" x14ac:dyDescent="0.25">
      <c r="A22" t="s">
        <v>13</v>
      </c>
    </row>
    <row r="23" spans="1:1" x14ac:dyDescent="0.25">
      <c r="A23" t="s">
        <v>14</v>
      </c>
    </row>
    <row r="24" spans="1:1" x14ac:dyDescent="0.25">
      <c r="A24" t="s">
        <v>15</v>
      </c>
    </row>
    <row r="27" spans="1:1" x14ac:dyDescent="0.25">
      <c r="A27" t="s">
        <v>43</v>
      </c>
    </row>
    <row r="29" spans="1:1" x14ac:dyDescent="0.25">
      <c r="A29" t="s">
        <v>16</v>
      </c>
    </row>
    <row r="30" spans="1:1" x14ac:dyDescent="0.25">
      <c r="A30" t="s">
        <v>44</v>
      </c>
    </row>
    <row r="33" spans="1:1" x14ac:dyDescent="0.25">
      <c r="A33" t="s">
        <v>45</v>
      </c>
    </row>
    <row r="35" spans="1:1" x14ac:dyDescent="0.25">
      <c r="A35" t="s">
        <v>18</v>
      </c>
    </row>
    <row r="36" spans="1:1" x14ac:dyDescent="0.25">
      <c r="A36" t="s">
        <v>17</v>
      </c>
    </row>
    <row r="39" spans="1:1" x14ac:dyDescent="0.25">
      <c r="A39" t="s">
        <v>46</v>
      </c>
    </row>
    <row r="41" spans="1:1" x14ac:dyDescent="0.25">
      <c r="A41" t="s">
        <v>19</v>
      </c>
    </row>
    <row r="42" spans="1:1" x14ac:dyDescent="0.25">
      <c r="A42" t="s">
        <v>17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pageSetUpPr fitToPage="1"/>
  </sheetPr>
  <dimension ref="A1"/>
  <sheetViews>
    <sheetView workbookViewId="0">
      <selection activeCell="D41" sqref="D41"/>
    </sheetView>
  </sheetViews>
  <sheetFormatPr baseColWidth="10" defaultRowHeight="15" x14ac:dyDescent="0.25"/>
  <sheetData/>
  <pageMargins left="0.7" right="0.7" top="0.75" bottom="0.75" header="0.3" footer="0.3"/>
  <pageSetup paperSize="9" scale="76" orientation="landscape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3:Q42"/>
  <sheetViews>
    <sheetView workbookViewId="0">
      <selection activeCell="V48" sqref="V48"/>
    </sheetView>
  </sheetViews>
  <sheetFormatPr baseColWidth="10" defaultRowHeight="15" x14ac:dyDescent="0.25"/>
  <cols>
    <col min="1" max="8" width="4.5703125" style="4" customWidth="1"/>
    <col min="10" max="17" width="4.7109375" customWidth="1"/>
  </cols>
  <sheetData>
    <row r="3" spans="1:17" x14ac:dyDescent="0.25">
      <c r="A3" s="5">
        <v>1</v>
      </c>
      <c r="B3" s="5">
        <v>2</v>
      </c>
      <c r="C3" s="5">
        <v>3</v>
      </c>
      <c r="D3" s="5">
        <v>4</v>
      </c>
      <c r="E3" s="5">
        <v>5</v>
      </c>
      <c r="F3" s="5">
        <v>6</v>
      </c>
      <c r="G3" s="5">
        <v>7</v>
      </c>
      <c r="H3" s="5">
        <v>8</v>
      </c>
      <c r="J3" s="5">
        <v>1</v>
      </c>
      <c r="K3" s="5">
        <v>2</v>
      </c>
      <c r="L3" s="5">
        <v>3</v>
      </c>
      <c r="M3" s="5">
        <v>4</v>
      </c>
      <c r="N3" s="5">
        <v>5</v>
      </c>
      <c r="O3" s="5">
        <v>6</v>
      </c>
      <c r="P3" s="5">
        <v>7</v>
      </c>
      <c r="Q3" s="5">
        <v>8</v>
      </c>
    </row>
    <row r="4" spans="1:17" x14ac:dyDescent="0.25">
      <c r="A4" s="5"/>
      <c r="B4" s="5"/>
      <c r="C4" s="5"/>
      <c r="D4" s="5"/>
      <c r="E4" s="5"/>
      <c r="F4" s="5"/>
      <c r="G4" s="5"/>
      <c r="H4" s="5"/>
      <c r="J4" s="5"/>
      <c r="K4" s="5"/>
      <c r="L4" s="5"/>
      <c r="M4" s="5"/>
      <c r="N4" s="5"/>
      <c r="O4" s="5"/>
      <c r="P4" s="5"/>
      <c r="Q4" s="5"/>
    </row>
    <row r="5" spans="1:17" x14ac:dyDescent="0.25">
      <c r="A5" s="5"/>
      <c r="B5" s="5"/>
      <c r="C5" s="5"/>
      <c r="D5" s="5"/>
      <c r="E5" s="5"/>
      <c r="F5" s="5"/>
      <c r="G5" s="5"/>
      <c r="H5" s="5"/>
      <c r="J5" s="5"/>
      <c r="K5" s="5"/>
      <c r="L5" s="5"/>
      <c r="M5" s="5"/>
      <c r="N5" s="5"/>
      <c r="O5" s="5"/>
      <c r="P5" s="5"/>
      <c r="Q5" s="5"/>
    </row>
    <row r="6" spans="1:17" x14ac:dyDescent="0.25">
      <c r="A6" s="5"/>
      <c r="B6" s="5"/>
      <c r="C6" s="5"/>
      <c r="D6" s="5"/>
      <c r="E6" s="5"/>
      <c r="F6" s="5"/>
      <c r="G6" s="5"/>
      <c r="H6" s="5"/>
      <c r="J6" s="5"/>
      <c r="K6" s="5"/>
      <c r="L6" s="5"/>
      <c r="M6" s="5"/>
      <c r="N6" s="5"/>
      <c r="O6" s="5"/>
      <c r="P6" s="5"/>
      <c r="Q6" s="5"/>
    </row>
    <row r="7" spans="1:17" x14ac:dyDescent="0.25">
      <c r="A7" s="5"/>
      <c r="B7" s="5"/>
      <c r="C7" s="5"/>
      <c r="D7" s="5"/>
      <c r="E7" s="5"/>
      <c r="F7" s="5"/>
      <c r="G7" s="5"/>
      <c r="H7" s="5"/>
      <c r="J7" s="5"/>
      <c r="K7" s="5"/>
      <c r="L7" s="5"/>
      <c r="M7" s="5"/>
      <c r="N7" s="5"/>
      <c r="O7" s="5"/>
      <c r="P7" s="5"/>
      <c r="Q7" s="5"/>
    </row>
    <row r="8" spans="1:17" x14ac:dyDescent="0.25">
      <c r="A8" s="5"/>
      <c r="B8" s="5"/>
      <c r="C8" s="5"/>
      <c r="D8" s="5"/>
      <c r="E8" s="5"/>
      <c r="F8" s="5"/>
      <c r="G8" s="5"/>
      <c r="H8" s="5"/>
      <c r="J8" s="5"/>
      <c r="K8" s="5"/>
      <c r="L8" s="5"/>
      <c r="M8" s="5"/>
      <c r="N8" s="5"/>
      <c r="O8" s="5"/>
      <c r="P8" s="5"/>
      <c r="Q8" s="5"/>
    </row>
    <row r="9" spans="1:17" x14ac:dyDescent="0.25">
      <c r="A9" s="5"/>
      <c r="B9" s="5"/>
      <c r="C9" s="5"/>
      <c r="D9" s="5"/>
      <c r="E9" s="5"/>
      <c r="F9" s="5"/>
      <c r="G9" s="5"/>
      <c r="H9" s="5"/>
      <c r="J9" s="5"/>
      <c r="K9" s="5"/>
      <c r="L9" s="5"/>
      <c r="M9" s="5"/>
      <c r="N9" s="5"/>
      <c r="O9" s="5"/>
      <c r="P9" s="5"/>
      <c r="Q9" s="5"/>
    </row>
    <row r="10" spans="1:17" x14ac:dyDescent="0.25">
      <c r="A10" s="5"/>
      <c r="B10" s="5"/>
      <c r="C10" s="5"/>
      <c r="D10" s="5"/>
      <c r="E10" s="5"/>
      <c r="F10" s="5"/>
      <c r="G10" s="5"/>
      <c r="H10" s="5"/>
      <c r="J10" s="5"/>
      <c r="K10" s="5"/>
      <c r="L10" s="5"/>
      <c r="M10" s="5"/>
      <c r="N10" s="5"/>
      <c r="O10" s="5"/>
      <c r="P10" s="5"/>
      <c r="Q10" s="5"/>
    </row>
    <row r="11" spans="1:17" x14ac:dyDescent="0.25">
      <c r="A11" s="5"/>
      <c r="B11" s="5"/>
      <c r="C11" s="5"/>
      <c r="D11" s="5"/>
      <c r="E11" s="5"/>
      <c r="F11" s="5"/>
      <c r="G11" s="5"/>
      <c r="H11" s="5"/>
      <c r="J11" s="5"/>
      <c r="K11" s="5"/>
      <c r="L11" s="5"/>
      <c r="M11" s="5"/>
      <c r="N11" s="5"/>
      <c r="O11" s="5"/>
      <c r="P11" s="5"/>
      <c r="Q11" s="5"/>
    </row>
    <row r="12" spans="1:17" x14ac:dyDescent="0.25">
      <c r="A12" s="5"/>
      <c r="B12" s="5"/>
      <c r="C12" s="5"/>
      <c r="D12" s="5"/>
      <c r="E12" s="5"/>
      <c r="F12" s="5"/>
      <c r="G12" s="5"/>
      <c r="H12" s="5"/>
      <c r="J12" s="5"/>
      <c r="K12" s="5"/>
      <c r="L12" s="5"/>
      <c r="M12" s="5"/>
      <c r="N12" s="5"/>
      <c r="O12" s="5"/>
      <c r="P12" s="5"/>
      <c r="Q12" s="5"/>
    </row>
    <row r="13" spans="1:17" x14ac:dyDescent="0.25">
      <c r="A13" s="5"/>
      <c r="B13" s="5"/>
      <c r="C13" s="5"/>
      <c r="D13" s="5"/>
      <c r="E13" s="5"/>
      <c r="F13" s="5"/>
      <c r="G13" s="5"/>
      <c r="H13" s="5"/>
      <c r="J13" s="5"/>
      <c r="K13" s="5"/>
      <c r="L13" s="5"/>
      <c r="M13" s="5"/>
      <c r="N13" s="5"/>
      <c r="O13" s="5"/>
      <c r="P13" s="5"/>
      <c r="Q13" s="5"/>
    </row>
    <row r="14" spans="1:17" x14ac:dyDescent="0.25">
      <c r="A14" s="5"/>
      <c r="B14" s="5"/>
      <c r="C14" s="5"/>
      <c r="D14" s="5"/>
      <c r="E14" s="5"/>
      <c r="F14" s="5"/>
      <c r="G14" s="5"/>
      <c r="H14" s="5"/>
      <c r="J14" s="5"/>
      <c r="K14" s="5"/>
      <c r="L14" s="5"/>
      <c r="M14" s="5"/>
      <c r="N14" s="5"/>
      <c r="O14" s="5"/>
      <c r="P14" s="5"/>
      <c r="Q14" s="5"/>
    </row>
    <row r="15" spans="1:17" x14ac:dyDescent="0.25">
      <c r="A15"/>
      <c r="B15"/>
      <c r="C15"/>
      <c r="D15"/>
      <c r="E15"/>
      <c r="F15"/>
      <c r="G15"/>
      <c r="H15"/>
    </row>
    <row r="16" spans="1:17" x14ac:dyDescent="0.25">
      <c r="A16"/>
      <c r="B16"/>
      <c r="C16"/>
      <c r="D16"/>
      <c r="E16"/>
      <c r="F16"/>
      <c r="G16"/>
      <c r="H16"/>
    </row>
    <row r="17" spans="1:17" x14ac:dyDescent="0.25">
      <c r="A17" s="5">
        <v>1</v>
      </c>
      <c r="B17" s="5">
        <v>2</v>
      </c>
      <c r="C17" s="5">
        <v>3</v>
      </c>
      <c r="D17" s="5">
        <v>4</v>
      </c>
      <c r="E17" s="5">
        <v>5</v>
      </c>
      <c r="F17" s="5">
        <v>6</v>
      </c>
      <c r="G17" s="5">
        <v>7</v>
      </c>
      <c r="H17" s="5">
        <v>8</v>
      </c>
      <c r="J17" s="5">
        <v>1</v>
      </c>
      <c r="K17" s="5">
        <v>2</v>
      </c>
      <c r="L17" s="5">
        <v>3</v>
      </c>
      <c r="M17" s="5">
        <v>4</v>
      </c>
      <c r="N17" s="5">
        <v>5</v>
      </c>
      <c r="O17" s="5">
        <v>6</v>
      </c>
      <c r="P17" s="5">
        <v>7</v>
      </c>
      <c r="Q17" s="5">
        <v>8</v>
      </c>
    </row>
    <row r="18" spans="1:17" x14ac:dyDescent="0.25">
      <c r="A18" s="5"/>
      <c r="B18" s="5"/>
      <c r="C18" s="5"/>
      <c r="D18" s="5"/>
      <c r="E18" s="5"/>
      <c r="F18" s="5"/>
      <c r="G18" s="5"/>
      <c r="H18" s="5"/>
      <c r="J18" s="5"/>
      <c r="K18" s="5"/>
      <c r="L18" s="5"/>
      <c r="M18" s="5"/>
      <c r="N18" s="5"/>
      <c r="O18" s="5"/>
      <c r="P18" s="5"/>
      <c r="Q18" s="5"/>
    </row>
    <row r="19" spans="1:17" x14ac:dyDescent="0.25">
      <c r="A19" s="5"/>
      <c r="B19" s="5"/>
      <c r="C19" s="5"/>
      <c r="D19" s="5"/>
      <c r="E19" s="5"/>
      <c r="F19" s="5"/>
      <c r="G19" s="5"/>
      <c r="H19" s="5"/>
      <c r="J19" s="5"/>
      <c r="K19" s="5"/>
      <c r="L19" s="5"/>
      <c r="M19" s="5"/>
      <c r="N19" s="5"/>
      <c r="O19" s="5"/>
      <c r="P19" s="5"/>
      <c r="Q19" s="5"/>
    </row>
    <row r="20" spans="1:17" x14ac:dyDescent="0.25">
      <c r="A20" s="5"/>
      <c r="B20" s="5"/>
      <c r="C20" s="5"/>
      <c r="D20" s="5"/>
      <c r="E20" s="5"/>
      <c r="F20" s="5"/>
      <c r="G20" s="5"/>
      <c r="H20" s="5"/>
      <c r="J20" s="5"/>
      <c r="K20" s="5"/>
      <c r="L20" s="5"/>
      <c r="M20" s="5"/>
      <c r="N20" s="5"/>
      <c r="O20" s="5"/>
      <c r="P20" s="5"/>
      <c r="Q20" s="5"/>
    </row>
    <row r="21" spans="1:17" x14ac:dyDescent="0.25">
      <c r="A21" s="5"/>
      <c r="B21" s="5"/>
      <c r="C21" s="5"/>
      <c r="D21" s="5"/>
      <c r="E21" s="5"/>
      <c r="F21" s="5"/>
      <c r="G21" s="5"/>
      <c r="H21" s="5"/>
      <c r="J21" s="5"/>
      <c r="K21" s="5"/>
      <c r="L21" s="5"/>
      <c r="M21" s="5"/>
      <c r="N21" s="5"/>
      <c r="O21" s="5"/>
      <c r="P21" s="5"/>
      <c r="Q21" s="5"/>
    </row>
    <row r="22" spans="1:17" x14ac:dyDescent="0.25">
      <c r="A22" s="5"/>
      <c r="B22" s="5"/>
      <c r="C22" s="5"/>
      <c r="D22" s="5"/>
      <c r="E22" s="5"/>
      <c r="F22" s="5"/>
      <c r="G22" s="5"/>
      <c r="H22" s="5"/>
      <c r="J22" s="5"/>
      <c r="K22" s="5"/>
      <c r="L22" s="5"/>
      <c r="M22" s="5"/>
      <c r="N22" s="5"/>
      <c r="O22" s="5"/>
      <c r="P22" s="5"/>
      <c r="Q22" s="5"/>
    </row>
    <row r="23" spans="1:17" x14ac:dyDescent="0.25">
      <c r="A23" s="5"/>
      <c r="B23" s="5"/>
      <c r="C23" s="5"/>
      <c r="D23" s="5"/>
      <c r="E23" s="5"/>
      <c r="F23" s="5"/>
      <c r="G23" s="5"/>
      <c r="H23" s="5"/>
      <c r="J23" s="5"/>
      <c r="K23" s="5"/>
      <c r="L23" s="5"/>
      <c r="M23" s="5"/>
      <c r="N23" s="5"/>
      <c r="O23" s="5"/>
      <c r="P23" s="5"/>
      <c r="Q23" s="5"/>
    </row>
    <row r="24" spans="1:17" x14ac:dyDescent="0.25">
      <c r="A24" s="5"/>
      <c r="B24" s="5"/>
      <c r="C24" s="5"/>
      <c r="D24" s="5"/>
      <c r="E24" s="5"/>
      <c r="F24" s="5"/>
      <c r="G24" s="5"/>
      <c r="H24" s="5"/>
      <c r="J24" s="5"/>
      <c r="K24" s="5"/>
      <c r="L24" s="5"/>
      <c r="M24" s="5"/>
      <c r="N24" s="5"/>
      <c r="O24" s="5"/>
      <c r="P24" s="5"/>
      <c r="Q24" s="5"/>
    </row>
    <row r="25" spans="1:17" x14ac:dyDescent="0.25">
      <c r="A25" s="5"/>
      <c r="B25" s="5"/>
      <c r="C25" s="5"/>
      <c r="D25" s="5"/>
      <c r="E25" s="5"/>
      <c r="F25" s="5"/>
      <c r="G25" s="5"/>
      <c r="H25" s="5"/>
      <c r="J25" s="5"/>
      <c r="K25" s="5"/>
      <c r="L25" s="5"/>
      <c r="M25" s="5"/>
      <c r="N25" s="5"/>
      <c r="O25" s="5"/>
      <c r="P25" s="5"/>
      <c r="Q25" s="5"/>
    </row>
    <row r="26" spans="1:17" x14ac:dyDescent="0.25">
      <c r="A26" s="5"/>
      <c r="B26" s="5"/>
      <c r="C26" s="5"/>
      <c r="D26" s="5"/>
      <c r="E26" s="5"/>
      <c r="F26" s="5"/>
      <c r="G26" s="5"/>
      <c r="H26" s="5"/>
      <c r="J26" s="5"/>
      <c r="K26" s="5"/>
      <c r="L26" s="5"/>
      <c r="M26" s="5"/>
      <c r="N26" s="5"/>
      <c r="O26" s="5"/>
      <c r="P26" s="5"/>
      <c r="Q26" s="5"/>
    </row>
    <row r="27" spans="1:17" x14ac:dyDescent="0.25">
      <c r="A27" s="5"/>
      <c r="B27" s="5"/>
      <c r="C27" s="5"/>
      <c r="D27" s="5"/>
      <c r="E27" s="5"/>
      <c r="F27" s="5"/>
      <c r="G27" s="5"/>
      <c r="H27" s="5"/>
      <c r="J27" s="5"/>
      <c r="K27" s="5"/>
      <c r="L27" s="5"/>
      <c r="M27" s="5"/>
      <c r="N27" s="5"/>
      <c r="O27" s="5"/>
      <c r="P27" s="5"/>
      <c r="Q27" s="5"/>
    </row>
    <row r="28" spans="1:17" x14ac:dyDescent="0.25">
      <c r="A28" s="5"/>
      <c r="B28" s="5"/>
      <c r="C28" s="5"/>
      <c r="D28" s="5"/>
      <c r="E28" s="5"/>
      <c r="F28" s="5"/>
      <c r="G28" s="5"/>
      <c r="H28" s="5"/>
      <c r="J28" s="5"/>
      <c r="K28" s="5"/>
      <c r="L28" s="5"/>
      <c r="M28" s="5"/>
      <c r="N28" s="5"/>
      <c r="O28" s="5"/>
      <c r="P28" s="5"/>
      <c r="Q28" s="5"/>
    </row>
    <row r="31" spans="1:17" x14ac:dyDescent="0.25">
      <c r="A31" s="5">
        <v>1</v>
      </c>
      <c r="B31" s="5">
        <v>2</v>
      </c>
      <c r="C31" s="5">
        <v>3</v>
      </c>
      <c r="D31" s="5">
        <v>4</v>
      </c>
      <c r="E31" s="5">
        <v>5</v>
      </c>
      <c r="F31" s="5">
        <v>6</v>
      </c>
      <c r="G31" s="5">
        <v>7</v>
      </c>
      <c r="H31" s="5">
        <v>8</v>
      </c>
      <c r="J31" s="5">
        <v>1</v>
      </c>
      <c r="K31" s="5">
        <v>2</v>
      </c>
      <c r="L31" s="5">
        <v>3</v>
      </c>
      <c r="M31" s="5">
        <v>4</v>
      </c>
      <c r="N31" s="5">
        <v>5</v>
      </c>
      <c r="O31" s="5">
        <v>6</v>
      </c>
      <c r="P31" s="5">
        <v>7</v>
      </c>
      <c r="Q31" s="5">
        <v>8</v>
      </c>
    </row>
    <row r="32" spans="1:17" x14ac:dyDescent="0.25">
      <c r="A32" s="5"/>
      <c r="B32" s="5"/>
      <c r="C32" s="5"/>
      <c r="D32" s="5"/>
      <c r="E32" s="5"/>
      <c r="F32" s="5"/>
      <c r="G32" s="5"/>
      <c r="H32" s="5"/>
      <c r="J32" s="5"/>
      <c r="K32" s="5"/>
      <c r="L32" s="5"/>
      <c r="M32" s="5"/>
      <c r="N32" s="5"/>
      <c r="O32" s="5"/>
      <c r="P32" s="5"/>
      <c r="Q32" s="5"/>
    </row>
    <row r="33" spans="1:17" x14ac:dyDescent="0.25">
      <c r="A33" s="5"/>
      <c r="B33" s="5"/>
      <c r="C33" s="5"/>
      <c r="D33" s="5"/>
      <c r="E33" s="5"/>
      <c r="F33" s="5"/>
      <c r="G33" s="5"/>
      <c r="H33" s="5"/>
      <c r="J33" s="5"/>
      <c r="K33" s="5"/>
      <c r="L33" s="5"/>
      <c r="M33" s="5"/>
      <c r="N33" s="5"/>
      <c r="O33" s="5"/>
      <c r="P33" s="5"/>
      <c r="Q33" s="5"/>
    </row>
    <row r="34" spans="1:17" x14ac:dyDescent="0.25">
      <c r="A34" s="5"/>
      <c r="B34" s="5"/>
      <c r="C34" s="5"/>
      <c r="D34" s="5"/>
      <c r="E34" s="5"/>
      <c r="F34" s="5"/>
      <c r="G34" s="5"/>
      <c r="H34" s="5"/>
      <c r="J34" s="5"/>
      <c r="K34" s="5"/>
      <c r="L34" s="5"/>
      <c r="M34" s="5"/>
      <c r="N34" s="5"/>
      <c r="O34" s="5"/>
      <c r="P34" s="5"/>
      <c r="Q34" s="5"/>
    </row>
    <row r="35" spans="1:17" x14ac:dyDescent="0.25">
      <c r="A35" s="5"/>
      <c r="B35" s="5"/>
      <c r="C35" s="5"/>
      <c r="D35" s="5"/>
      <c r="E35" s="5"/>
      <c r="F35" s="5"/>
      <c r="G35" s="5"/>
      <c r="H35" s="5"/>
      <c r="J35" s="5"/>
      <c r="K35" s="5"/>
      <c r="L35" s="5"/>
      <c r="M35" s="5"/>
      <c r="N35" s="5"/>
      <c r="O35" s="5"/>
      <c r="P35" s="5"/>
      <c r="Q35" s="5"/>
    </row>
    <row r="36" spans="1:17" x14ac:dyDescent="0.25">
      <c r="A36" s="5"/>
      <c r="B36" s="5"/>
      <c r="C36" s="5"/>
      <c r="D36" s="5"/>
      <c r="E36" s="5"/>
      <c r="F36" s="5"/>
      <c r="G36" s="5"/>
      <c r="H36" s="5"/>
      <c r="J36" s="5"/>
      <c r="K36" s="5"/>
      <c r="L36" s="5"/>
      <c r="M36" s="5"/>
      <c r="N36" s="5"/>
      <c r="O36" s="5"/>
      <c r="P36" s="5"/>
      <c r="Q36" s="5"/>
    </row>
    <row r="37" spans="1:17" x14ac:dyDescent="0.25">
      <c r="A37" s="5"/>
      <c r="B37" s="5"/>
      <c r="C37" s="5"/>
      <c r="D37" s="5"/>
      <c r="E37" s="5"/>
      <c r="F37" s="5"/>
      <c r="G37" s="5"/>
      <c r="H37" s="5"/>
      <c r="J37" s="5"/>
      <c r="K37" s="5"/>
      <c r="L37" s="5"/>
      <c r="M37" s="5"/>
      <c r="N37" s="5"/>
      <c r="O37" s="5"/>
      <c r="P37" s="5"/>
      <c r="Q37" s="5"/>
    </row>
    <row r="38" spans="1:17" x14ac:dyDescent="0.25">
      <c r="A38" s="5"/>
      <c r="B38" s="5"/>
      <c r="C38" s="5"/>
      <c r="D38" s="5"/>
      <c r="E38" s="5"/>
      <c r="F38" s="5"/>
      <c r="G38" s="5"/>
      <c r="H38" s="5"/>
      <c r="J38" s="5"/>
      <c r="K38" s="5"/>
      <c r="L38" s="5"/>
      <c r="M38" s="5"/>
      <c r="N38" s="5"/>
      <c r="O38" s="5"/>
      <c r="P38" s="5"/>
      <c r="Q38" s="5"/>
    </row>
    <row r="39" spans="1:17" x14ac:dyDescent="0.25">
      <c r="A39" s="5"/>
      <c r="B39" s="5"/>
      <c r="C39" s="5"/>
      <c r="D39" s="5"/>
      <c r="E39" s="5"/>
      <c r="F39" s="5"/>
      <c r="G39" s="5"/>
      <c r="H39" s="5"/>
      <c r="J39" s="5"/>
      <c r="K39" s="5"/>
      <c r="L39" s="5"/>
      <c r="M39" s="5"/>
      <c r="N39" s="5"/>
      <c r="O39" s="5"/>
      <c r="P39" s="5"/>
      <c r="Q39" s="5"/>
    </row>
    <row r="40" spans="1:17" x14ac:dyDescent="0.25">
      <c r="A40" s="5"/>
      <c r="B40" s="5"/>
      <c r="C40" s="5"/>
      <c r="D40" s="5"/>
      <c r="E40" s="5"/>
      <c r="F40" s="5"/>
      <c r="G40" s="5"/>
      <c r="H40" s="5"/>
      <c r="J40" s="5"/>
      <c r="K40" s="5"/>
      <c r="L40" s="5"/>
      <c r="M40" s="5"/>
      <c r="N40" s="5"/>
      <c r="O40" s="5"/>
      <c r="P40" s="5"/>
      <c r="Q40" s="5"/>
    </row>
    <row r="41" spans="1:17" x14ac:dyDescent="0.25">
      <c r="A41" s="5"/>
      <c r="B41" s="5"/>
      <c r="C41" s="5"/>
      <c r="D41" s="5"/>
      <c r="E41" s="5"/>
      <c r="F41" s="5"/>
      <c r="G41" s="5"/>
      <c r="H41" s="5"/>
      <c r="J41" s="5"/>
      <c r="K41" s="5"/>
      <c r="L41" s="5"/>
      <c r="M41" s="5"/>
      <c r="N41" s="5"/>
      <c r="O41" s="5"/>
      <c r="P41" s="5"/>
      <c r="Q41" s="5"/>
    </row>
    <row r="42" spans="1:17" x14ac:dyDescent="0.25">
      <c r="A42" s="5"/>
      <c r="B42" s="5"/>
      <c r="C42" s="5"/>
      <c r="D42" s="5"/>
      <c r="E42" s="5"/>
      <c r="F42" s="5"/>
      <c r="G42" s="5"/>
      <c r="H42" s="5"/>
      <c r="J42" s="5"/>
      <c r="K42" s="5"/>
      <c r="L42" s="5"/>
      <c r="M42" s="5"/>
      <c r="N42" s="5"/>
      <c r="O42" s="5"/>
      <c r="P42" s="5"/>
      <c r="Q42" s="5"/>
    </row>
  </sheetData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AJ45"/>
  <sheetViews>
    <sheetView workbookViewId="0">
      <selection activeCell="P35" sqref="P35"/>
    </sheetView>
  </sheetViews>
  <sheetFormatPr baseColWidth="10" defaultRowHeight="15" x14ac:dyDescent="0.25"/>
  <cols>
    <col min="3" max="3" width="11.5703125" customWidth="1"/>
    <col min="5" max="6" width="9" bestFit="1" customWidth="1"/>
    <col min="7" max="7" width="9" customWidth="1"/>
    <col min="8" max="8" width="9" bestFit="1" customWidth="1"/>
    <col min="9" max="9" width="9" customWidth="1"/>
    <col min="10" max="10" width="10.5703125" bestFit="1" customWidth="1"/>
    <col min="11" max="33" width="9" bestFit="1" customWidth="1"/>
  </cols>
  <sheetData>
    <row r="1" spans="1:36" x14ac:dyDescent="0.25">
      <c r="A1" t="s">
        <v>56</v>
      </c>
      <c r="E1">
        <v>1</v>
      </c>
      <c r="F1">
        <v>2</v>
      </c>
      <c r="H1">
        <v>3</v>
      </c>
      <c r="J1">
        <v>4</v>
      </c>
      <c r="K1">
        <v>5</v>
      </c>
      <c r="L1">
        <v>6</v>
      </c>
      <c r="M1">
        <v>7</v>
      </c>
      <c r="N1">
        <v>8</v>
      </c>
      <c r="O1">
        <v>9</v>
      </c>
      <c r="P1">
        <v>10</v>
      </c>
      <c r="Q1">
        <v>11</v>
      </c>
      <c r="R1">
        <v>12</v>
      </c>
      <c r="S1">
        <v>13</v>
      </c>
      <c r="T1">
        <v>14</v>
      </c>
      <c r="U1">
        <v>15</v>
      </c>
      <c r="V1">
        <v>16</v>
      </c>
      <c r="W1">
        <v>17</v>
      </c>
      <c r="X1">
        <v>18</v>
      </c>
      <c r="Y1">
        <v>19</v>
      </c>
      <c r="Z1">
        <v>20</v>
      </c>
      <c r="AA1">
        <v>21</v>
      </c>
      <c r="AB1">
        <v>22</v>
      </c>
      <c r="AC1">
        <v>23</v>
      </c>
      <c r="AD1">
        <v>24</v>
      </c>
      <c r="AE1">
        <v>25</v>
      </c>
      <c r="AF1">
        <v>26</v>
      </c>
      <c r="AG1">
        <v>27</v>
      </c>
      <c r="AI1" t="s">
        <v>67</v>
      </c>
    </row>
    <row r="2" spans="1:36" x14ac:dyDescent="0.25">
      <c r="C2" t="s">
        <v>57</v>
      </c>
      <c r="E2" t="str">
        <f>RIGHT(LEFT($C2,2*E$1),2)</f>
        <v>40</v>
      </c>
      <c r="F2" t="str">
        <f>RIGHT(LEFT($C2,2*F$1),2)</f>
        <v>04</v>
      </c>
      <c r="H2" t="str">
        <f t="shared" ref="H2:AG2" si="0">RIGHT(LEFT($C2,2*H$1),2)</f>
        <v>07</v>
      </c>
      <c r="J2" t="str">
        <f t="shared" si="0"/>
        <v>20</v>
      </c>
      <c r="K2" t="str">
        <f t="shared" si="0"/>
        <v>00</v>
      </c>
      <c r="L2" t="str">
        <f t="shared" si="0"/>
        <v>00</v>
      </c>
      <c r="M2" t="str">
        <f t="shared" si="0"/>
        <v>00</v>
      </c>
      <c r="N2" t="str">
        <f t="shared" si="0"/>
        <v>60</v>
      </c>
      <c r="O2" t="str">
        <f t="shared" si="0"/>
        <v>40</v>
      </c>
      <c r="P2" t="str">
        <f t="shared" si="0"/>
        <v>04</v>
      </c>
      <c r="Q2" t="str">
        <f t="shared" si="0"/>
        <v>07</v>
      </c>
      <c r="R2" t="str">
        <f t="shared" si="0"/>
        <v>20</v>
      </c>
      <c r="S2" t="str">
        <f t="shared" si="0"/>
        <v>00</v>
      </c>
      <c r="T2" t="str">
        <f t="shared" si="0"/>
        <v>92</v>
      </c>
      <c r="U2" t="str">
        <f t="shared" si="0"/>
        <v>34</v>
      </c>
      <c r="V2" t="str">
        <f t="shared" si="0"/>
        <v>01</v>
      </c>
      <c r="W2" t="str">
        <f t="shared" si="0"/>
        <v>8C</v>
      </c>
      <c r="X2" t="str">
        <f t="shared" si="0"/>
        <v>00</v>
      </c>
      <c r="Y2" t="str">
        <f t="shared" si="0"/>
        <v>00</v>
      </c>
      <c r="Z2" t="str">
        <f t="shared" si="0"/>
        <v>70</v>
      </c>
      <c r="AA2" t="str">
        <f t="shared" si="0"/>
        <v>07</v>
      </c>
      <c r="AB2" t="str">
        <f t="shared" si="0"/>
        <v>08</v>
      </c>
      <c r="AC2" t="str">
        <f t="shared" si="0"/>
        <v>00</v>
      </c>
      <c r="AD2" t="str">
        <f t="shared" si="0"/>
        <v>80</v>
      </c>
      <c r="AE2" t="str">
        <f t="shared" si="0"/>
        <v>00</v>
      </c>
      <c r="AF2" t="str">
        <f t="shared" si="0"/>
        <v>60</v>
      </c>
      <c r="AG2" t="str">
        <f t="shared" si="0"/>
        <v>8C</v>
      </c>
    </row>
    <row r="3" spans="1:36" x14ac:dyDescent="0.25">
      <c r="E3" t="str">
        <f>HEX2BIN(E2,8)</f>
        <v>01000000</v>
      </c>
      <c r="F3" t="str">
        <f t="shared" ref="F3:N3" si="1">HEX2BIN(F2,8)</f>
        <v>00000100</v>
      </c>
      <c r="H3" t="str">
        <f t="shared" si="1"/>
        <v>00000111</v>
      </c>
      <c r="J3" t="str">
        <f t="shared" si="1"/>
        <v>00100000</v>
      </c>
      <c r="K3" t="str">
        <f t="shared" si="1"/>
        <v>00000000</v>
      </c>
      <c r="L3" t="str">
        <f t="shared" si="1"/>
        <v>00000000</v>
      </c>
      <c r="M3" t="str">
        <f t="shared" si="1"/>
        <v>00000000</v>
      </c>
      <c r="N3" t="str">
        <f t="shared" si="1"/>
        <v>01100000</v>
      </c>
      <c r="O3" t="str">
        <f t="shared" ref="O3" si="2">HEX2BIN(O2,8)</f>
        <v>01000000</v>
      </c>
      <c r="P3" t="str">
        <f t="shared" ref="P3" si="3">HEX2BIN(P2,8)</f>
        <v>00000100</v>
      </c>
      <c r="Q3" t="str">
        <f t="shared" ref="Q3" si="4">HEX2BIN(Q2,8)</f>
        <v>00000111</v>
      </c>
      <c r="R3" t="str">
        <f t="shared" ref="R3" si="5">HEX2BIN(R2,8)</f>
        <v>00100000</v>
      </c>
      <c r="S3" t="str">
        <f t="shared" ref="S3" si="6">HEX2BIN(S2,8)</f>
        <v>00000000</v>
      </c>
      <c r="T3" t="str">
        <f t="shared" ref="T3" si="7">HEX2BIN(T2,8)</f>
        <v>10010010</v>
      </c>
      <c r="U3" t="str">
        <f t="shared" ref="U3" si="8">HEX2BIN(U2,8)</f>
        <v>00110100</v>
      </c>
      <c r="V3" t="str">
        <f t="shared" ref="V3" si="9">HEX2BIN(V2,8)</f>
        <v>00000001</v>
      </c>
      <c r="W3" t="str">
        <f t="shared" ref="W3" si="10">HEX2BIN(W2,8)</f>
        <v>10001100</v>
      </c>
      <c r="X3" t="str">
        <f t="shared" ref="X3" si="11">HEX2BIN(X2,8)</f>
        <v>00000000</v>
      </c>
      <c r="Y3" t="str">
        <f t="shared" ref="Y3" si="12">HEX2BIN(Y2,8)</f>
        <v>00000000</v>
      </c>
      <c r="Z3" t="str">
        <f t="shared" ref="Z3" si="13">HEX2BIN(Z2,8)</f>
        <v>01110000</v>
      </c>
      <c r="AA3" t="str">
        <f t="shared" ref="AA3" si="14">HEX2BIN(AA2,8)</f>
        <v>00000111</v>
      </c>
      <c r="AB3" t="str">
        <f t="shared" ref="AB3" si="15">HEX2BIN(AB2,8)</f>
        <v>00001000</v>
      </c>
      <c r="AC3" t="str">
        <f t="shared" ref="AC3" si="16">HEX2BIN(AC2,8)</f>
        <v>00000000</v>
      </c>
      <c r="AD3" t="str">
        <f t="shared" ref="AD3" si="17">HEX2BIN(AD2,8)</f>
        <v>10000000</v>
      </c>
      <c r="AE3" t="str">
        <f t="shared" ref="AE3" si="18">HEX2BIN(AE2,8)</f>
        <v>00000000</v>
      </c>
      <c r="AF3" t="str">
        <f t="shared" ref="AF3" si="19">HEX2BIN(AF2,8)</f>
        <v>01100000</v>
      </c>
      <c r="AG3" t="str">
        <f t="shared" ref="AG3" si="20">HEX2BIN(AG2,8)</f>
        <v>10001100</v>
      </c>
    </row>
    <row r="4" spans="1:36" x14ac:dyDescent="0.25">
      <c r="E4">
        <f>HEX2DEC(E2)</f>
        <v>64</v>
      </c>
      <c r="F4">
        <f t="shared" ref="F4:N4" si="21">HEX2DEC(F2)</f>
        <v>4</v>
      </c>
      <c r="H4">
        <f t="shared" si="21"/>
        <v>7</v>
      </c>
      <c r="J4">
        <f t="shared" si="21"/>
        <v>32</v>
      </c>
      <c r="K4">
        <f t="shared" si="21"/>
        <v>0</v>
      </c>
      <c r="L4">
        <f t="shared" si="21"/>
        <v>0</v>
      </c>
      <c r="M4">
        <f t="shared" si="21"/>
        <v>0</v>
      </c>
      <c r="N4">
        <f t="shared" si="21"/>
        <v>96</v>
      </c>
      <c r="O4">
        <f t="shared" ref="O4:AE4" si="22">HEX2DEC(O2)</f>
        <v>64</v>
      </c>
      <c r="P4">
        <f t="shared" si="22"/>
        <v>4</v>
      </c>
      <c r="Q4">
        <f t="shared" si="22"/>
        <v>7</v>
      </c>
      <c r="R4">
        <f t="shared" si="22"/>
        <v>32</v>
      </c>
      <c r="S4">
        <f t="shared" si="22"/>
        <v>0</v>
      </c>
      <c r="T4">
        <f t="shared" si="22"/>
        <v>146</v>
      </c>
      <c r="U4">
        <f t="shared" si="22"/>
        <v>52</v>
      </c>
      <c r="V4">
        <f t="shared" si="22"/>
        <v>1</v>
      </c>
      <c r="W4">
        <f t="shared" si="22"/>
        <v>140</v>
      </c>
      <c r="X4">
        <f t="shared" si="22"/>
        <v>0</v>
      </c>
      <c r="Y4">
        <f t="shared" si="22"/>
        <v>0</v>
      </c>
      <c r="Z4">
        <f t="shared" si="22"/>
        <v>112</v>
      </c>
      <c r="AA4">
        <f t="shared" si="22"/>
        <v>7</v>
      </c>
      <c r="AB4">
        <f t="shared" si="22"/>
        <v>8</v>
      </c>
      <c r="AC4">
        <f t="shared" si="22"/>
        <v>0</v>
      </c>
      <c r="AD4">
        <f t="shared" si="22"/>
        <v>128</v>
      </c>
      <c r="AE4">
        <f t="shared" si="22"/>
        <v>0</v>
      </c>
      <c r="AF4">
        <f t="shared" ref="AF4:AG4" si="23">HEX2DEC(AF2)</f>
        <v>96</v>
      </c>
      <c r="AG4">
        <f t="shared" si="23"/>
        <v>140</v>
      </c>
      <c r="AI4">
        <f>SUM(E4:AF4)</f>
        <v>1000</v>
      </c>
      <c r="AJ4" t="str">
        <f>DEC2HEX(AI4,4)</f>
        <v>03E8</v>
      </c>
    </row>
    <row r="18" spans="2:10" x14ac:dyDescent="0.25">
      <c r="B18" t="s">
        <v>21</v>
      </c>
      <c r="C18" t="s">
        <v>68</v>
      </c>
      <c r="D18" t="str">
        <f>ReverseText(C18)</f>
        <v>00000010</v>
      </c>
      <c r="E18" t="str">
        <f>BIN2HEX(C18,2)</f>
        <v>40</v>
      </c>
      <c r="F18" t="str">
        <f>BIN2HEX(D18,2)</f>
        <v>02</v>
      </c>
      <c r="G18">
        <f>HEX2DEC(E18)</f>
        <v>64</v>
      </c>
      <c r="H18">
        <f>HEX2DEC(F18)</f>
        <v>2</v>
      </c>
    </row>
    <row r="19" spans="2:10" x14ac:dyDescent="0.25">
      <c r="B19" t="s">
        <v>22</v>
      </c>
      <c r="C19" t="s">
        <v>69</v>
      </c>
      <c r="D19" t="str">
        <f t="shared" ref="D19:D45" si="24">ReverseText(C19)</f>
        <v>00100000</v>
      </c>
      <c r="E19" t="str">
        <f t="shared" ref="E19:F45" si="25">BIN2HEX(C19,2)</f>
        <v>04</v>
      </c>
      <c r="F19" t="str">
        <f t="shared" si="25"/>
        <v>20</v>
      </c>
      <c r="G19">
        <f t="shared" ref="G19:G25" si="26">HEX2DEC(E19)</f>
        <v>4</v>
      </c>
      <c r="H19">
        <f t="shared" ref="H19:H25" si="27">HEX2DEC(F19)</f>
        <v>32</v>
      </c>
    </row>
    <row r="20" spans="2:10" x14ac:dyDescent="0.25">
      <c r="B20" t="s">
        <v>23</v>
      </c>
      <c r="C20" t="s">
        <v>70</v>
      </c>
      <c r="D20" t="str">
        <f t="shared" si="24"/>
        <v>11100000</v>
      </c>
      <c r="E20" t="str">
        <f t="shared" si="25"/>
        <v>07</v>
      </c>
      <c r="F20" t="str">
        <f t="shared" si="25"/>
        <v>E0</v>
      </c>
      <c r="G20">
        <f t="shared" si="26"/>
        <v>7</v>
      </c>
      <c r="H20">
        <f t="shared" si="27"/>
        <v>224</v>
      </c>
    </row>
    <row r="21" spans="2:10" x14ac:dyDescent="0.25">
      <c r="B21" t="s">
        <v>24</v>
      </c>
      <c r="C21" t="s">
        <v>54</v>
      </c>
      <c r="D21" t="str">
        <f t="shared" si="24"/>
        <v>00000100</v>
      </c>
      <c r="E21" t="str">
        <f t="shared" si="25"/>
        <v>20</v>
      </c>
      <c r="F21" t="str">
        <f t="shared" si="25"/>
        <v>04</v>
      </c>
      <c r="G21">
        <f t="shared" si="26"/>
        <v>32</v>
      </c>
      <c r="H21">
        <f t="shared" si="27"/>
        <v>4</v>
      </c>
    </row>
    <row r="22" spans="2:10" x14ac:dyDescent="0.25">
      <c r="B22" t="s">
        <v>25</v>
      </c>
      <c r="C22" t="s">
        <v>39</v>
      </c>
      <c r="D22" t="str">
        <f t="shared" si="24"/>
        <v>00000000</v>
      </c>
      <c r="E22" t="str">
        <f t="shared" si="25"/>
        <v>00</v>
      </c>
      <c r="F22" t="str">
        <f t="shared" si="25"/>
        <v>00</v>
      </c>
      <c r="G22">
        <f t="shared" si="26"/>
        <v>0</v>
      </c>
      <c r="H22">
        <f t="shared" si="27"/>
        <v>0</v>
      </c>
    </row>
    <row r="23" spans="2:10" x14ac:dyDescent="0.25">
      <c r="B23" t="s">
        <v>26</v>
      </c>
      <c r="C23" t="s">
        <v>39</v>
      </c>
      <c r="D23" t="str">
        <f t="shared" si="24"/>
        <v>00000000</v>
      </c>
      <c r="E23" t="str">
        <f t="shared" si="25"/>
        <v>00</v>
      </c>
      <c r="F23" t="str">
        <f t="shared" si="25"/>
        <v>00</v>
      </c>
      <c r="G23">
        <f t="shared" si="26"/>
        <v>0</v>
      </c>
      <c r="H23">
        <f t="shared" si="27"/>
        <v>0</v>
      </c>
    </row>
    <row r="24" spans="2:10" x14ac:dyDescent="0.25">
      <c r="B24" t="s">
        <v>27</v>
      </c>
      <c r="C24" t="s">
        <v>39</v>
      </c>
      <c r="D24" t="str">
        <f t="shared" si="24"/>
        <v>00000000</v>
      </c>
      <c r="E24" t="str">
        <f t="shared" si="25"/>
        <v>00</v>
      </c>
      <c r="F24" t="str">
        <f t="shared" si="25"/>
        <v>00</v>
      </c>
      <c r="G24">
        <f t="shared" si="26"/>
        <v>0</v>
      </c>
      <c r="H24">
        <f t="shared" si="27"/>
        <v>0</v>
      </c>
      <c r="I24">
        <f>SUM(G18:G24)</f>
        <v>107</v>
      </c>
      <c r="J24">
        <f>SUM(H18:H24)</f>
        <v>262</v>
      </c>
    </row>
    <row r="25" spans="2:10" x14ac:dyDescent="0.25">
      <c r="B25" t="s">
        <v>28</v>
      </c>
      <c r="C25" t="s">
        <v>71</v>
      </c>
      <c r="D25" t="str">
        <f t="shared" si="24"/>
        <v>00000110</v>
      </c>
      <c r="E25" t="str">
        <f t="shared" si="25"/>
        <v>60</v>
      </c>
      <c r="F25" t="str">
        <f t="shared" si="25"/>
        <v>06</v>
      </c>
      <c r="G25">
        <f t="shared" si="26"/>
        <v>96</v>
      </c>
      <c r="H25">
        <f t="shared" si="27"/>
        <v>6</v>
      </c>
      <c r="I25" t="str">
        <f>DEC2HEX(I24,2)</f>
        <v>6B</v>
      </c>
      <c r="J25" t="str">
        <f>DEC2HEX(J24,4)</f>
        <v>0106</v>
      </c>
    </row>
    <row r="27" spans="2:10" x14ac:dyDescent="0.25">
      <c r="B27" t="s">
        <v>29</v>
      </c>
      <c r="C27" t="s">
        <v>68</v>
      </c>
      <c r="D27" t="str">
        <f t="shared" si="24"/>
        <v>00000010</v>
      </c>
      <c r="E27" t="str">
        <f t="shared" si="25"/>
        <v>40</v>
      </c>
      <c r="F27" t="str">
        <f t="shared" si="25"/>
        <v>02</v>
      </c>
      <c r="G27">
        <f t="shared" ref="G27:G45" si="28">HEX2DEC(E27)</f>
        <v>64</v>
      </c>
      <c r="H27">
        <f t="shared" ref="H27:H45" si="29">HEX2DEC(F27)</f>
        <v>2</v>
      </c>
    </row>
    <row r="28" spans="2:10" x14ac:dyDescent="0.25">
      <c r="B28" t="s">
        <v>30</v>
      </c>
      <c r="C28" t="s">
        <v>69</v>
      </c>
      <c r="D28" t="str">
        <f t="shared" si="24"/>
        <v>00100000</v>
      </c>
      <c r="E28" t="str">
        <f t="shared" si="25"/>
        <v>04</v>
      </c>
      <c r="F28" t="str">
        <f t="shared" si="25"/>
        <v>20</v>
      </c>
      <c r="G28">
        <f t="shared" si="28"/>
        <v>4</v>
      </c>
      <c r="H28">
        <f t="shared" si="29"/>
        <v>32</v>
      </c>
    </row>
    <row r="29" spans="2:10" x14ac:dyDescent="0.25">
      <c r="B29" t="s">
        <v>31</v>
      </c>
      <c r="C29" t="s">
        <v>70</v>
      </c>
      <c r="D29" t="str">
        <f t="shared" si="24"/>
        <v>11100000</v>
      </c>
      <c r="E29" t="str">
        <f t="shared" si="25"/>
        <v>07</v>
      </c>
      <c r="F29" t="str">
        <f t="shared" si="25"/>
        <v>E0</v>
      </c>
      <c r="G29">
        <f t="shared" si="28"/>
        <v>7</v>
      </c>
      <c r="H29">
        <f t="shared" si="29"/>
        <v>224</v>
      </c>
    </row>
    <row r="30" spans="2:10" x14ac:dyDescent="0.25">
      <c r="B30" t="s">
        <v>32</v>
      </c>
      <c r="C30" t="s">
        <v>54</v>
      </c>
      <c r="D30" t="str">
        <f t="shared" si="24"/>
        <v>00000100</v>
      </c>
      <c r="E30" t="str">
        <f t="shared" si="25"/>
        <v>20</v>
      </c>
      <c r="F30" t="str">
        <f t="shared" si="25"/>
        <v>04</v>
      </c>
      <c r="G30">
        <f t="shared" si="28"/>
        <v>32</v>
      </c>
      <c r="H30">
        <f t="shared" si="29"/>
        <v>4</v>
      </c>
    </row>
    <row r="31" spans="2:10" x14ac:dyDescent="0.25">
      <c r="B31" t="s">
        <v>33</v>
      </c>
      <c r="C31" t="s">
        <v>39</v>
      </c>
      <c r="D31" t="str">
        <f t="shared" si="24"/>
        <v>00000000</v>
      </c>
      <c r="E31" t="str">
        <f t="shared" si="25"/>
        <v>00</v>
      </c>
      <c r="F31" t="str">
        <f t="shared" si="25"/>
        <v>00</v>
      </c>
      <c r="G31">
        <f t="shared" si="28"/>
        <v>0</v>
      </c>
      <c r="H31">
        <f t="shared" si="29"/>
        <v>0</v>
      </c>
    </row>
    <row r="32" spans="2:10" x14ac:dyDescent="0.25">
      <c r="B32" t="s">
        <v>34</v>
      </c>
      <c r="C32" t="s">
        <v>72</v>
      </c>
      <c r="D32" t="str">
        <f t="shared" si="24"/>
        <v>01001001</v>
      </c>
      <c r="E32" t="str">
        <f t="shared" si="25"/>
        <v>92</v>
      </c>
      <c r="F32" t="str">
        <f t="shared" si="25"/>
        <v>49</v>
      </c>
      <c r="G32">
        <f t="shared" si="28"/>
        <v>146</v>
      </c>
      <c r="H32">
        <f t="shared" si="29"/>
        <v>73</v>
      </c>
    </row>
    <row r="33" spans="2:10" x14ac:dyDescent="0.25">
      <c r="B33" t="s">
        <v>35</v>
      </c>
      <c r="C33" t="s">
        <v>73</v>
      </c>
      <c r="D33" t="str">
        <f t="shared" si="24"/>
        <v>00101100</v>
      </c>
      <c r="E33" t="str">
        <f t="shared" si="25"/>
        <v>34</v>
      </c>
      <c r="F33" t="str">
        <f t="shared" si="25"/>
        <v>2C</v>
      </c>
      <c r="G33">
        <f t="shared" si="28"/>
        <v>52</v>
      </c>
      <c r="H33">
        <f t="shared" si="29"/>
        <v>44</v>
      </c>
    </row>
    <row r="34" spans="2:10" x14ac:dyDescent="0.25">
      <c r="B34" t="s">
        <v>36</v>
      </c>
      <c r="C34" t="s">
        <v>53</v>
      </c>
      <c r="D34" t="str">
        <f t="shared" si="24"/>
        <v>10000000</v>
      </c>
      <c r="E34" t="str">
        <f t="shared" si="25"/>
        <v>01</v>
      </c>
      <c r="F34" t="str">
        <f t="shared" si="25"/>
        <v>80</v>
      </c>
      <c r="G34">
        <f t="shared" si="28"/>
        <v>1</v>
      </c>
      <c r="H34">
        <f t="shared" si="29"/>
        <v>128</v>
      </c>
    </row>
    <row r="35" spans="2:10" x14ac:dyDescent="0.25">
      <c r="B35" t="s">
        <v>37</v>
      </c>
      <c r="C35" t="s">
        <v>74</v>
      </c>
      <c r="D35" t="str">
        <f t="shared" si="24"/>
        <v>00110001</v>
      </c>
      <c r="E35" t="str">
        <f t="shared" si="25"/>
        <v>8C</v>
      </c>
      <c r="F35" t="str">
        <f t="shared" si="25"/>
        <v>31</v>
      </c>
      <c r="G35">
        <f t="shared" si="28"/>
        <v>140</v>
      </c>
      <c r="H35">
        <f t="shared" si="29"/>
        <v>49</v>
      </c>
    </row>
    <row r="36" spans="2:10" x14ac:dyDescent="0.25">
      <c r="B36" t="s">
        <v>38</v>
      </c>
      <c r="C36" t="s">
        <v>39</v>
      </c>
      <c r="D36" t="str">
        <f t="shared" si="24"/>
        <v>00000000</v>
      </c>
      <c r="E36" t="str">
        <f t="shared" si="25"/>
        <v>00</v>
      </c>
      <c r="F36" t="str">
        <f t="shared" si="25"/>
        <v>00</v>
      </c>
      <c r="G36">
        <f t="shared" si="28"/>
        <v>0</v>
      </c>
      <c r="H36">
        <f t="shared" si="29"/>
        <v>0</v>
      </c>
    </row>
    <row r="37" spans="2:10" x14ac:dyDescent="0.25">
      <c r="B37" t="s">
        <v>77</v>
      </c>
      <c r="C37" t="s">
        <v>39</v>
      </c>
      <c r="D37" t="str">
        <f t="shared" si="24"/>
        <v>00000000</v>
      </c>
      <c r="E37" t="str">
        <f t="shared" si="25"/>
        <v>00</v>
      </c>
      <c r="F37" t="str">
        <f t="shared" si="25"/>
        <v>00</v>
      </c>
      <c r="G37">
        <f t="shared" si="28"/>
        <v>0</v>
      </c>
      <c r="H37">
        <f t="shared" si="29"/>
        <v>0</v>
      </c>
    </row>
    <row r="38" spans="2:10" x14ac:dyDescent="0.25">
      <c r="B38" t="s">
        <v>78</v>
      </c>
      <c r="C38" t="s">
        <v>75</v>
      </c>
      <c r="D38" t="str">
        <f t="shared" si="24"/>
        <v>00001110</v>
      </c>
      <c r="E38" t="str">
        <f t="shared" si="25"/>
        <v>70</v>
      </c>
      <c r="F38" t="str">
        <f t="shared" si="25"/>
        <v>0E</v>
      </c>
      <c r="G38">
        <f t="shared" si="28"/>
        <v>112</v>
      </c>
      <c r="H38">
        <f t="shared" si="29"/>
        <v>14</v>
      </c>
    </row>
    <row r="39" spans="2:10" x14ac:dyDescent="0.25">
      <c r="B39" t="s">
        <v>79</v>
      </c>
      <c r="C39" t="s">
        <v>70</v>
      </c>
      <c r="D39" t="str">
        <f t="shared" si="24"/>
        <v>11100000</v>
      </c>
      <c r="E39" t="str">
        <f t="shared" si="25"/>
        <v>07</v>
      </c>
      <c r="F39" t="str">
        <f t="shared" si="25"/>
        <v>E0</v>
      </c>
      <c r="G39">
        <f t="shared" si="28"/>
        <v>7</v>
      </c>
      <c r="H39">
        <f t="shared" si="29"/>
        <v>224</v>
      </c>
    </row>
    <row r="40" spans="2:10" x14ac:dyDescent="0.25">
      <c r="B40" t="s">
        <v>80</v>
      </c>
      <c r="C40" t="s">
        <v>55</v>
      </c>
      <c r="D40" t="str">
        <f t="shared" si="24"/>
        <v>00010000</v>
      </c>
      <c r="E40" t="str">
        <f t="shared" si="25"/>
        <v>08</v>
      </c>
      <c r="F40" t="str">
        <f t="shared" si="25"/>
        <v>10</v>
      </c>
      <c r="G40">
        <f t="shared" si="28"/>
        <v>8</v>
      </c>
      <c r="H40">
        <f t="shared" si="29"/>
        <v>16</v>
      </c>
    </row>
    <row r="41" spans="2:10" x14ac:dyDescent="0.25">
      <c r="B41" t="s">
        <v>81</v>
      </c>
      <c r="C41" t="s">
        <v>39</v>
      </c>
      <c r="D41" t="str">
        <f t="shared" si="24"/>
        <v>00000000</v>
      </c>
      <c r="E41" t="str">
        <f t="shared" si="25"/>
        <v>00</v>
      </c>
      <c r="F41" t="str">
        <f t="shared" si="25"/>
        <v>00</v>
      </c>
      <c r="G41">
        <f t="shared" si="28"/>
        <v>0</v>
      </c>
      <c r="H41">
        <f t="shared" si="29"/>
        <v>0</v>
      </c>
    </row>
    <row r="42" spans="2:10" x14ac:dyDescent="0.25">
      <c r="B42" t="s">
        <v>82</v>
      </c>
      <c r="C42" t="s">
        <v>76</v>
      </c>
      <c r="D42" t="str">
        <f t="shared" si="24"/>
        <v>00000001</v>
      </c>
      <c r="E42" t="str">
        <f t="shared" si="25"/>
        <v>80</v>
      </c>
      <c r="F42" t="str">
        <f t="shared" si="25"/>
        <v>01</v>
      </c>
      <c r="G42">
        <f t="shared" si="28"/>
        <v>128</v>
      </c>
      <c r="H42">
        <f t="shared" si="29"/>
        <v>1</v>
      </c>
    </row>
    <row r="43" spans="2:10" x14ac:dyDescent="0.25">
      <c r="B43" t="s">
        <v>83</v>
      </c>
      <c r="C43" t="s">
        <v>39</v>
      </c>
      <c r="D43" t="str">
        <f t="shared" si="24"/>
        <v>00000000</v>
      </c>
      <c r="E43" t="str">
        <f t="shared" si="25"/>
        <v>00</v>
      </c>
      <c r="F43" t="str">
        <f t="shared" si="25"/>
        <v>00</v>
      </c>
      <c r="G43">
        <f t="shared" si="28"/>
        <v>0</v>
      </c>
      <c r="H43">
        <f t="shared" si="29"/>
        <v>0</v>
      </c>
    </row>
    <row r="44" spans="2:10" x14ac:dyDescent="0.25">
      <c r="B44" t="s">
        <v>84</v>
      </c>
      <c r="C44" t="s">
        <v>71</v>
      </c>
      <c r="D44" t="str">
        <f t="shared" si="24"/>
        <v>00000110</v>
      </c>
      <c r="E44" t="str">
        <f t="shared" si="25"/>
        <v>60</v>
      </c>
      <c r="F44" t="str">
        <f t="shared" si="25"/>
        <v>06</v>
      </c>
      <c r="G44">
        <f t="shared" si="28"/>
        <v>96</v>
      </c>
      <c r="H44">
        <f t="shared" si="29"/>
        <v>6</v>
      </c>
      <c r="I44">
        <f>SUM(G27:G44)</f>
        <v>797</v>
      </c>
      <c r="J44">
        <f>SUM(H27:H44)</f>
        <v>817</v>
      </c>
    </row>
    <row r="45" spans="2:10" x14ac:dyDescent="0.25">
      <c r="B45" t="s">
        <v>85</v>
      </c>
      <c r="C45" t="s">
        <v>74</v>
      </c>
      <c r="D45" t="str">
        <f t="shared" si="24"/>
        <v>00110001</v>
      </c>
      <c r="E45" t="str">
        <f t="shared" si="25"/>
        <v>8C</v>
      </c>
      <c r="F45" t="str">
        <f t="shared" si="25"/>
        <v>31</v>
      </c>
      <c r="G45">
        <f t="shared" si="28"/>
        <v>140</v>
      </c>
      <c r="H45">
        <f t="shared" si="29"/>
        <v>49</v>
      </c>
      <c r="I45" t="str">
        <f>DEC2HEX(I44,4)</f>
        <v>031D</v>
      </c>
      <c r="J45" t="str">
        <f>DEC2HEX(J44,4)</f>
        <v>0331</v>
      </c>
    </row>
  </sheetData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6"/>
  <dimension ref="A1:AJ44"/>
  <sheetViews>
    <sheetView tabSelected="1" workbookViewId="0">
      <selection activeCell="I8" sqref="I8"/>
    </sheetView>
  </sheetViews>
  <sheetFormatPr baseColWidth="10" defaultRowHeight="15" x14ac:dyDescent="0.25"/>
  <cols>
    <col min="3" max="3" width="11.5703125" customWidth="1"/>
    <col min="5" max="6" width="9" bestFit="1" customWidth="1"/>
    <col min="7" max="7" width="9" customWidth="1"/>
    <col min="8" max="8" width="9" bestFit="1" customWidth="1"/>
    <col min="9" max="9" width="9" customWidth="1"/>
    <col min="10" max="10" width="10.5703125" bestFit="1" customWidth="1"/>
    <col min="11" max="33" width="9" bestFit="1" customWidth="1"/>
  </cols>
  <sheetData>
    <row r="1" spans="1:36" x14ac:dyDescent="0.25">
      <c r="A1" t="s">
        <v>56</v>
      </c>
      <c r="E1">
        <v>1</v>
      </c>
      <c r="F1">
        <v>2</v>
      </c>
      <c r="H1">
        <v>3</v>
      </c>
      <c r="J1">
        <v>4</v>
      </c>
      <c r="K1">
        <v>5</v>
      </c>
      <c r="L1">
        <v>6</v>
      </c>
      <c r="M1">
        <v>7</v>
      </c>
      <c r="N1">
        <v>8</v>
      </c>
      <c r="O1">
        <v>9</v>
      </c>
      <c r="P1">
        <v>10</v>
      </c>
      <c r="Q1">
        <v>11</v>
      </c>
      <c r="R1">
        <v>12</v>
      </c>
      <c r="S1">
        <v>13</v>
      </c>
      <c r="T1">
        <v>14</v>
      </c>
      <c r="U1">
        <v>15</v>
      </c>
      <c r="V1">
        <v>16</v>
      </c>
      <c r="W1">
        <v>17</v>
      </c>
      <c r="X1">
        <v>18</v>
      </c>
      <c r="Y1">
        <v>19</v>
      </c>
      <c r="Z1">
        <v>20</v>
      </c>
      <c r="AA1">
        <v>21</v>
      </c>
      <c r="AB1">
        <v>22</v>
      </c>
      <c r="AC1">
        <v>23</v>
      </c>
      <c r="AD1">
        <v>24</v>
      </c>
      <c r="AE1">
        <v>25</v>
      </c>
      <c r="AF1">
        <v>26</v>
      </c>
      <c r="AG1">
        <v>27</v>
      </c>
      <c r="AI1" t="s">
        <v>67</v>
      </c>
    </row>
    <row r="2" spans="1:36" x14ac:dyDescent="0.25">
      <c r="C2" t="s">
        <v>86</v>
      </c>
      <c r="E2" t="str">
        <f>RIGHT(LEFT($C2,2*E$1),2)</f>
        <v>40</v>
      </c>
      <c r="F2" t="str">
        <f>RIGHT(LEFT($C2,2*F$1),2)</f>
        <v>04</v>
      </c>
      <c r="H2" t="str">
        <f t="shared" ref="H2:AG2" si="0">RIGHT(LEFT($C2,2*H$1),2)</f>
        <v>07</v>
      </c>
      <c r="J2" t="str">
        <f t="shared" si="0"/>
        <v>20</v>
      </c>
      <c r="K2" t="str">
        <f t="shared" si="0"/>
        <v>00</v>
      </c>
      <c r="L2" t="str">
        <f t="shared" si="0"/>
        <v>00</v>
      </c>
      <c r="M2" t="str">
        <f t="shared" si="0"/>
        <v>00</v>
      </c>
      <c r="N2" t="str">
        <f t="shared" si="0"/>
        <v>60</v>
      </c>
      <c r="O2" t="str">
        <f t="shared" si="0"/>
        <v>40</v>
      </c>
      <c r="P2" t="str">
        <f t="shared" si="0"/>
        <v>04</v>
      </c>
      <c r="Q2" t="str">
        <f t="shared" si="0"/>
        <v>07</v>
      </c>
      <c r="R2" t="str">
        <f t="shared" si="0"/>
        <v>20</v>
      </c>
      <c r="S2" t="str">
        <f t="shared" si="0"/>
        <v>00</v>
      </c>
      <c r="T2" t="str">
        <f t="shared" si="0"/>
        <v>10</v>
      </c>
      <c r="U2" t="str">
        <f t="shared" si="0"/>
        <v>3C</v>
      </c>
      <c r="V2" t="str">
        <f t="shared" si="0"/>
        <v>01</v>
      </c>
      <c r="W2" t="str">
        <f t="shared" si="0"/>
        <v>85</v>
      </c>
      <c r="X2" t="str">
        <f t="shared" si="0"/>
        <v>00</v>
      </c>
      <c r="Y2" t="str">
        <f t="shared" si="0"/>
        <v>00</v>
      </c>
      <c r="Z2" t="str">
        <f t="shared" si="0"/>
        <v>70</v>
      </c>
      <c r="AA2" t="str">
        <f t="shared" si="0"/>
        <v>07</v>
      </c>
      <c r="AB2" t="str">
        <f t="shared" si="0"/>
        <v>08</v>
      </c>
      <c r="AC2" t="str">
        <f t="shared" si="0"/>
        <v>00</v>
      </c>
      <c r="AD2" t="str">
        <f t="shared" si="0"/>
        <v>80</v>
      </c>
      <c r="AE2" t="str">
        <f t="shared" si="0"/>
        <v>00</v>
      </c>
      <c r="AF2" t="str">
        <f t="shared" si="0"/>
        <v>60</v>
      </c>
      <c r="AG2" t="str">
        <f t="shared" si="0"/>
        <v>0E</v>
      </c>
    </row>
    <row r="3" spans="1:36" x14ac:dyDescent="0.25">
      <c r="E3" t="str">
        <f>HEX2BIN(E2,8)</f>
        <v>01000000</v>
      </c>
      <c r="F3" t="str">
        <f t="shared" ref="F3:AG3" si="1">HEX2BIN(F2,8)</f>
        <v>00000100</v>
      </c>
      <c r="H3" t="str">
        <f t="shared" si="1"/>
        <v>00000111</v>
      </c>
      <c r="J3" t="str">
        <f t="shared" si="1"/>
        <v>00100000</v>
      </c>
      <c r="K3" t="str">
        <f t="shared" si="1"/>
        <v>00000000</v>
      </c>
      <c r="L3" t="str">
        <f t="shared" si="1"/>
        <v>00000000</v>
      </c>
      <c r="M3" t="str">
        <f t="shared" si="1"/>
        <v>00000000</v>
      </c>
      <c r="N3" t="str">
        <f t="shared" si="1"/>
        <v>01100000</v>
      </c>
      <c r="O3" t="str">
        <f t="shared" si="1"/>
        <v>01000000</v>
      </c>
      <c r="P3" t="str">
        <f t="shared" si="1"/>
        <v>00000100</v>
      </c>
      <c r="Q3" t="str">
        <f t="shared" si="1"/>
        <v>00000111</v>
      </c>
      <c r="R3" t="str">
        <f t="shared" si="1"/>
        <v>00100000</v>
      </c>
      <c r="S3" t="str">
        <f t="shared" si="1"/>
        <v>00000000</v>
      </c>
      <c r="T3" t="str">
        <f t="shared" si="1"/>
        <v>00010000</v>
      </c>
      <c r="U3" t="str">
        <f t="shared" si="1"/>
        <v>00111100</v>
      </c>
      <c r="V3" t="str">
        <f t="shared" si="1"/>
        <v>00000001</v>
      </c>
      <c r="W3" t="str">
        <f t="shared" si="1"/>
        <v>10000101</v>
      </c>
      <c r="X3" t="str">
        <f t="shared" si="1"/>
        <v>00000000</v>
      </c>
      <c r="Y3" t="str">
        <f t="shared" si="1"/>
        <v>00000000</v>
      </c>
      <c r="Z3" t="str">
        <f t="shared" si="1"/>
        <v>01110000</v>
      </c>
      <c r="AA3" t="str">
        <f t="shared" si="1"/>
        <v>00000111</v>
      </c>
      <c r="AB3" t="str">
        <f t="shared" si="1"/>
        <v>00001000</v>
      </c>
      <c r="AC3" t="str">
        <f t="shared" si="1"/>
        <v>00000000</v>
      </c>
      <c r="AD3" t="str">
        <f t="shared" si="1"/>
        <v>10000000</v>
      </c>
      <c r="AE3" t="str">
        <f t="shared" si="1"/>
        <v>00000000</v>
      </c>
      <c r="AF3" t="str">
        <f t="shared" si="1"/>
        <v>01100000</v>
      </c>
      <c r="AG3" t="str">
        <f t="shared" si="1"/>
        <v>00001110</v>
      </c>
    </row>
    <row r="4" spans="1:36" x14ac:dyDescent="0.25">
      <c r="E4">
        <f>HEX2DEC(E2)</f>
        <v>64</v>
      </c>
      <c r="F4">
        <f t="shared" ref="F4:AG4" si="2">HEX2DEC(F2)</f>
        <v>4</v>
      </c>
      <c r="H4">
        <f t="shared" si="2"/>
        <v>7</v>
      </c>
      <c r="J4">
        <f t="shared" si="2"/>
        <v>32</v>
      </c>
      <c r="K4">
        <f t="shared" si="2"/>
        <v>0</v>
      </c>
      <c r="L4">
        <f t="shared" si="2"/>
        <v>0</v>
      </c>
      <c r="M4">
        <f t="shared" si="2"/>
        <v>0</v>
      </c>
      <c r="N4">
        <f t="shared" si="2"/>
        <v>96</v>
      </c>
      <c r="O4">
        <f t="shared" si="2"/>
        <v>64</v>
      </c>
      <c r="P4">
        <f t="shared" si="2"/>
        <v>4</v>
      </c>
      <c r="Q4">
        <f t="shared" si="2"/>
        <v>7</v>
      </c>
      <c r="R4">
        <f t="shared" si="2"/>
        <v>32</v>
      </c>
      <c r="S4">
        <f t="shared" si="2"/>
        <v>0</v>
      </c>
      <c r="T4">
        <f t="shared" si="2"/>
        <v>16</v>
      </c>
      <c r="U4">
        <f t="shared" si="2"/>
        <v>60</v>
      </c>
      <c r="V4">
        <f t="shared" si="2"/>
        <v>1</v>
      </c>
      <c r="W4">
        <f t="shared" si="2"/>
        <v>133</v>
      </c>
      <c r="X4">
        <f t="shared" si="2"/>
        <v>0</v>
      </c>
      <c r="Y4">
        <f t="shared" si="2"/>
        <v>0</v>
      </c>
      <c r="Z4">
        <f t="shared" si="2"/>
        <v>112</v>
      </c>
      <c r="AA4">
        <f t="shared" si="2"/>
        <v>7</v>
      </c>
      <c r="AB4">
        <f t="shared" si="2"/>
        <v>8</v>
      </c>
      <c r="AC4">
        <f t="shared" si="2"/>
        <v>0</v>
      </c>
      <c r="AD4">
        <f t="shared" si="2"/>
        <v>128</v>
      </c>
      <c r="AE4">
        <f t="shared" si="2"/>
        <v>0</v>
      </c>
      <c r="AF4">
        <f t="shared" si="2"/>
        <v>96</v>
      </c>
      <c r="AG4">
        <f t="shared" si="2"/>
        <v>14</v>
      </c>
      <c r="AI4">
        <f>SUM(E4:AF4)</f>
        <v>871</v>
      </c>
      <c r="AJ4" t="str">
        <f>DEC2HEX(AI4,4)</f>
        <v>0367</v>
      </c>
    </row>
    <row r="17" spans="2:16" x14ac:dyDescent="0.25">
      <c r="P17" t="s">
        <v>68</v>
      </c>
    </row>
    <row r="18" spans="2:16" x14ac:dyDescent="0.25">
      <c r="B18" t="s">
        <v>21</v>
      </c>
      <c r="C18" t="s">
        <v>68</v>
      </c>
      <c r="D18" t="str">
        <f>ReverseText(C18)</f>
        <v>00000010</v>
      </c>
      <c r="E18" t="str">
        <f>BIN2HEX(C18,2)</f>
        <v>40</v>
      </c>
      <c r="F18" t="str">
        <f>BIN2HEX(D18,2)</f>
        <v>02</v>
      </c>
      <c r="G18">
        <f>HEX2DEC(E18)</f>
        <v>64</v>
      </c>
      <c r="H18">
        <f>HEX2DEC(F18)</f>
        <v>2</v>
      </c>
      <c r="P18" t="s">
        <v>69</v>
      </c>
    </row>
    <row r="19" spans="2:16" x14ac:dyDescent="0.25">
      <c r="B19" t="s">
        <v>22</v>
      </c>
      <c r="C19" t="s">
        <v>69</v>
      </c>
      <c r="D19" t="str">
        <f t="shared" ref="D19:D44" si="3">ReverseText(C19)</f>
        <v>00100000</v>
      </c>
      <c r="E19" t="str">
        <f t="shared" ref="E19:F44" si="4">BIN2HEX(C19,2)</f>
        <v>04</v>
      </c>
      <c r="F19" t="str">
        <f t="shared" si="4"/>
        <v>20</v>
      </c>
      <c r="G19">
        <f t="shared" ref="G19:H25" si="5">HEX2DEC(E19)</f>
        <v>4</v>
      </c>
      <c r="H19">
        <f t="shared" si="5"/>
        <v>32</v>
      </c>
      <c r="P19" t="s">
        <v>70</v>
      </c>
    </row>
    <row r="20" spans="2:16" x14ac:dyDescent="0.25">
      <c r="B20" t="s">
        <v>23</v>
      </c>
      <c r="C20" t="s">
        <v>70</v>
      </c>
      <c r="D20" t="str">
        <f t="shared" si="3"/>
        <v>11100000</v>
      </c>
      <c r="E20" t="str">
        <f t="shared" si="4"/>
        <v>07</v>
      </c>
      <c r="F20" t="str">
        <f t="shared" si="4"/>
        <v>E0</v>
      </c>
      <c r="G20">
        <f t="shared" si="5"/>
        <v>7</v>
      </c>
      <c r="H20">
        <f t="shared" si="5"/>
        <v>224</v>
      </c>
      <c r="P20" t="s">
        <v>54</v>
      </c>
    </row>
    <row r="21" spans="2:16" x14ac:dyDescent="0.25">
      <c r="B21" t="s">
        <v>24</v>
      </c>
      <c r="C21" t="s">
        <v>54</v>
      </c>
      <c r="D21" t="str">
        <f t="shared" si="3"/>
        <v>00000100</v>
      </c>
      <c r="E21" t="str">
        <f t="shared" si="4"/>
        <v>20</v>
      </c>
      <c r="F21" t="str">
        <f t="shared" si="4"/>
        <v>04</v>
      </c>
      <c r="G21">
        <f t="shared" si="5"/>
        <v>32</v>
      </c>
      <c r="H21">
        <f t="shared" si="5"/>
        <v>4</v>
      </c>
      <c r="P21" t="s">
        <v>39</v>
      </c>
    </row>
    <row r="22" spans="2:16" x14ac:dyDescent="0.25">
      <c r="B22" t="s">
        <v>25</v>
      </c>
      <c r="C22" t="s">
        <v>39</v>
      </c>
      <c r="D22" t="str">
        <f t="shared" si="3"/>
        <v>00000000</v>
      </c>
      <c r="E22" t="str">
        <f t="shared" si="4"/>
        <v>00</v>
      </c>
      <c r="F22" t="str">
        <f t="shared" si="4"/>
        <v>00</v>
      </c>
      <c r="G22">
        <f t="shared" si="5"/>
        <v>0</v>
      </c>
      <c r="H22">
        <f t="shared" si="5"/>
        <v>0</v>
      </c>
      <c r="P22" t="s">
        <v>39</v>
      </c>
    </row>
    <row r="23" spans="2:16" x14ac:dyDescent="0.25">
      <c r="B23" t="s">
        <v>26</v>
      </c>
      <c r="C23" t="s">
        <v>39</v>
      </c>
      <c r="D23" t="str">
        <f t="shared" si="3"/>
        <v>00000000</v>
      </c>
      <c r="E23" t="str">
        <f t="shared" si="4"/>
        <v>00</v>
      </c>
      <c r="F23" t="str">
        <f t="shared" si="4"/>
        <v>00</v>
      </c>
      <c r="G23">
        <f t="shared" si="5"/>
        <v>0</v>
      </c>
      <c r="H23">
        <f t="shared" si="5"/>
        <v>0</v>
      </c>
      <c r="P23" t="s">
        <v>39</v>
      </c>
    </row>
    <row r="24" spans="2:16" x14ac:dyDescent="0.25">
      <c r="B24" t="s">
        <v>27</v>
      </c>
      <c r="C24" t="s">
        <v>39</v>
      </c>
      <c r="D24" t="str">
        <f t="shared" si="3"/>
        <v>00000000</v>
      </c>
      <c r="E24" t="str">
        <f t="shared" si="4"/>
        <v>00</v>
      </c>
      <c r="F24" t="str">
        <f t="shared" si="4"/>
        <v>00</v>
      </c>
      <c r="G24">
        <f t="shared" si="5"/>
        <v>0</v>
      </c>
      <c r="H24">
        <f t="shared" si="5"/>
        <v>0</v>
      </c>
      <c r="I24">
        <f>SUM(G18:G24)</f>
        <v>107</v>
      </c>
      <c r="J24">
        <f>SUM(H18:H24)</f>
        <v>262</v>
      </c>
      <c r="P24" t="s">
        <v>71</v>
      </c>
    </row>
    <row r="25" spans="2:16" x14ac:dyDescent="0.25">
      <c r="B25" t="s">
        <v>28</v>
      </c>
      <c r="C25" t="s">
        <v>71</v>
      </c>
      <c r="D25" t="str">
        <f t="shared" si="3"/>
        <v>00000110</v>
      </c>
      <c r="E25" t="str">
        <f t="shared" si="4"/>
        <v>60</v>
      </c>
      <c r="F25" t="str">
        <f t="shared" si="4"/>
        <v>06</v>
      </c>
      <c r="G25">
        <f t="shared" si="5"/>
        <v>96</v>
      </c>
      <c r="H25">
        <f t="shared" si="5"/>
        <v>6</v>
      </c>
      <c r="I25" t="str">
        <f>DEC2HEX(I24,2)</f>
        <v>6B</v>
      </c>
      <c r="J25" t="str">
        <f>DEC2HEX(J24,4)</f>
        <v>0106</v>
      </c>
      <c r="P25" t="s">
        <v>68</v>
      </c>
    </row>
    <row r="26" spans="2:16" x14ac:dyDescent="0.25">
      <c r="B26" t="s">
        <v>29</v>
      </c>
      <c r="C26" t="s">
        <v>68</v>
      </c>
      <c r="D26" t="str">
        <f t="shared" si="3"/>
        <v>00000010</v>
      </c>
      <c r="E26" t="str">
        <f t="shared" si="4"/>
        <v>40</v>
      </c>
      <c r="F26" t="str">
        <f t="shared" si="4"/>
        <v>02</v>
      </c>
      <c r="G26">
        <f t="shared" ref="G26:H44" si="6">HEX2DEC(E26)</f>
        <v>64</v>
      </c>
      <c r="H26">
        <f t="shared" si="6"/>
        <v>2</v>
      </c>
      <c r="P26" t="s">
        <v>69</v>
      </c>
    </row>
    <row r="27" spans="2:16" x14ac:dyDescent="0.25">
      <c r="B27" t="s">
        <v>30</v>
      </c>
      <c r="C27" t="s">
        <v>69</v>
      </c>
      <c r="D27" t="str">
        <f t="shared" si="3"/>
        <v>00100000</v>
      </c>
      <c r="E27" t="str">
        <f t="shared" si="4"/>
        <v>04</v>
      </c>
      <c r="F27" t="str">
        <f t="shared" si="4"/>
        <v>20</v>
      </c>
      <c r="G27">
        <f t="shared" si="6"/>
        <v>4</v>
      </c>
      <c r="H27">
        <f t="shared" si="6"/>
        <v>32</v>
      </c>
      <c r="P27" t="s">
        <v>70</v>
      </c>
    </row>
    <row r="28" spans="2:16" x14ac:dyDescent="0.25">
      <c r="B28" t="s">
        <v>31</v>
      </c>
      <c r="C28" t="s">
        <v>70</v>
      </c>
      <c r="D28" t="str">
        <f t="shared" si="3"/>
        <v>11100000</v>
      </c>
      <c r="E28" t="str">
        <f t="shared" si="4"/>
        <v>07</v>
      </c>
      <c r="F28" t="str">
        <f t="shared" si="4"/>
        <v>E0</v>
      </c>
      <c r="G28">
        <f t="shared" si="6"/>
        <v>7</v>
      </c>
      <c r="H28">
        <f t="shared" si="6"/>
        <v>224</v>
      </c>
      <c r="P28" t="s">
        <v>54</v>
      </c>
    </row>
    <row r="29" spans="2:16" x14ac:dyDescent="0.25">
      <c r="B29" t="s">
        <v>32</v>
      </c>
      <c r="C29" t="s">
        <v>54</v>
      </c>
      <c r="D29" t="str">
        <f t="shared" si="3"/>
        <v>00000100</v>
      </c>
      <c r="E29" t="str">
        <f t="shared" si="4"/>
        <v>20</v>
      </c>
      <c r="F29" t="str">
        <f t="shared" si="4"/>
        <v>04</v>
      </c>
      <c r="G29">
        <f t="shared" si="6"/>
        <v>32</v>
      </c>
      <c r="H29">
        <f t="shared" si="6"/>
        <v>4</v>
      </c>
      <c r="P29" t="s">
        <v>39</v>
      </c>
    </row>
    <row r="30" spans="2:16" x14ac:dyDescent="0.25">
      <c r="B30" t="s">
        <v>33</v>
      </c>
      <c r="C30" t="s">
        <v>39</v>
      </c>
      <c r="D30" t="str">
        <f t="shared" si="3"/>
        <v>00000000</v>
      </c>
      <c r="E30" t="str">
        <f t="shared" si="4"/>
        <v>00</v>
      </c>
      <c r="F30" t="str">
        <f t="shared" si="4"/>
        <v>00</v>
      </c>
      <c r="G30">
        <f t="shared" si="6"/>
        <v>0</v>
      </c>
      <c r="H30">
        <f t="shared" si="6"/>
        <v>0</v>
      </c>
      <c r="P30" t="s">
        <v>87</v>
      </c>
    </row>
    <row r="31" spans="2:16" x14ac:dyDescent="0.25">
      <c r="B31" t="s">
        <v>34</v>
      </c>
      <c r="C31" t="s">
        <v>87</v>
      </c>
      <c r="D31" t="str">
        <f t="shared" si="3"/>
        <v>00001000</v>
      </c>
      <c r="E31" t="str">
        <f t="shared" si="4"/>
        <v>10</v>
      </c>
      <c r="F31" t="str">
        <f t="shared" si="4"/>
        <v>08</v>
      </c>
      <c r="G31">
        <f t="shared" si="6"/>
        <v>16</v>
      </c>
      <c r="H31">
        <f t="shared" si="6"/>
        <v>8</v>
      </c>
      <c r="P31" t="s">
        <v>88</v>
      </c>
    </row>
    <row r="32" spans="2:16" x14ac:dyDescent="0.25">
      <c r="B32" t="s">
        <v>35</v>
      </c>
      <c r="C32" t="s">
        <v>88</v>
      </c>
      <c r="D32" t="str">
        <f t="shared" si="3"/>
        <v>00111100</v>
      </c>
      <c r="E32" t="str">
        <f t="shared" si="4"/>
        <v>3C</v>
      </c>
      <c r="F32" t="str">
        <f t="shared" si="4"/>
        <v>3C</v>
      </c>
      <c r="G32">
        <f t="shared" si="6"/>
        <v>60</v>
      </c>
      <c r="H32">
        <f t="shared" si="6"/>
        <v>60</v>
      </c>
      <c r="P32" t="s">
        <v>53</v>
      </c>
    </row>
    <row r="33" spans="2:16" x14ac:dyDescent="0.25">
      <c r="B33" t="s">
        <v>36</v>
      </c>
      <c r="C33" t="s">
        <v>53</v>
      </c>
      <c r="D33" t="str">
        <f t="shared" si="3"/>
        <v>10000000</v>
      </c>
      <c r="E33" t="str">
        <f t="shared" si="4"/>
        <v>01</v>
      </c>
      <c r="F33" t="str">
        <f t="shared" si="4"/>
        <v>80</v>
      </c>
      <c r="G33">
        <f t="shared" si="6"/>
        <v>1</v>
      </c>
      <c r="H33">
        <f t="shared" si="6"/>
        <v>128</v>
      </c>
      <c r="P33" t="s">
        <v>89</v>
      </c>
    </row>
    <row r="34" spans="2:16" x14ac:dyDescent="0.25">
      <c r="B34" t="s">
        <v>37</v>
      </c>
      <c r="C34" t="s">
        <v>89</v>
      </c>
      <c r="D34" t="str">
        <f t="shared" si="3"/>
        <v>10100001</v>
      </c>
      <c r="E34" t="str">
        <f t="shared" si="4"/>
        <v>85</v>
      </c>
      <c r="F34" t="str">
        <f t="shared" si="4"/>
        <v>A1</v>
      </c>
      <c r="G34">
        <f t="shared" si="6"/>
        <v>133</v>
      </c>
      <c r="H34">
        <f t="shared" si="6"/>
        <v>161</v>
      </c>
      <c r="P34" t="s">
        <v>39</v>
      </c>
    </row>
    <row r="35" spans="2:16" x14ac:dyDescent="0.25">
      <c r="B35" t="s">
        <v>38</v>
      </c>
      <c r="C35" t="s">
        <v>39</v>
      </c>
      <c r="D35" t="str">
        <f t="shared" si="3"/>
        <v>00000000</v>
      </c>
      <c r="E35" t="str">
        <f t="shared" si="4"/>
        <v>00</v>
      </c>
      <c r="F35" t="str">
        <f t="shared" si="4"/>
        <v>00</v>
      </c>
      <c r="G35">
        <f t="shared" si="6"/>
        <v>0</v>
      </c>
      <c r="H35">
        <f t="shared" si="6"/>
        <v>0</v>
      </c>
      <c r="P35" t="s">
        <v>39</v>
      </c>
    </row>
    <row r="36" spans="2:16" x14ac:dyDescent="0.25">
      <c r="B36" t="s">
        <v>77</v>
      </c>
      <c r="C36" t="s">
        <v>39</v>
      </c>
      <c r="D36" t="str">
        <f t="shared" si="3"/>
        <v>00000000</v>
      </c>
      <c r="E36" t="str">
        <f t="shared" si="4"/>
        <v>00</v>
      </c>
      <c r="F36" t="str">
        <f t="shared" si="4"/>
        <v>00</v>
      </c>
      <c r="G36">
        <f t="shared" si="6"/>
        <v>0</v>
      </c>
      <c r="H36">
        <f t="shared" si="6"/>
        <v>0</v>
      </c>
      <c r="P36" t="s">
        <v>75</v>
      </c>
    </row>
    <row r="37" spans="2:16" x14ac:dyDescent="0.25">
      <c r="B37" t="s">
        <v>78</v>
      </c>
      <c r="C37" t="s">
        <v>75</v>
      </c>
      <c r="D37" t="str">
        <f t="shared" si="3"/>
        <v>00001110</v>
      </c>
      <c r="E37" t="str">
        <f t="shared" si="4"/>
        <v>70</v>
      </c>
      <c r="F37" t="str">
        <f t="shared" si="4"/>
        <v>0E</v>
      </c>
      <c r="G37">
        <f t="shared" si="6"/>
        <v>112</v>
      </c>
      <c r="H37">
        <f t="shared" si="6"/>
        <v>14</v>
      </c>
      <c r="P37" t="s">
        <v>70</v>
      </c>
    </row>
    <row r="38" spans="2:16" x14ac:dyDescent="0.25">
      <c r="B38" t="s">
        <v>79</v>
      </c>
      <c r="C38" t="s">
        <v>70</v>
      </c>
      <c r="D38" t="str">
        <f t="shared" si="3"/>
        <v>11100000</v>
      </c>
      <c r="E38" t="str">
        <f t="shared" si="4"/>
        <v>07</v>
      </c>
      <c r="F38" t="str">
        <f t="shared" si="4"/>
        <v>E0</v>
      </c>
      <c r="G38">
        <f t="shared" si="6"/>
        <v>7</v>
      </c>
      <c r="H38">
        <f t="shared" si="6"/>
        <v>224</v>
      </c>
      <c r="P38" t="s">
        <v>55</v>
      </c>
    </row>
    <row r="39" spans="2:16" x14ac:dyDescent="0.25">
      <c r="B39" t="s">
        <v>80</v>
      </c>
      <c r="C39" t="s">
        <v>55</v>
      </c>
      <c r="D39" t="str">
        <f t="shared" si="3"/>
        <v>00010000</v>
      </c>
      <c r="E39" t="str">
        <f t="shared" si="4"/>
        <v>08</v>
      </c>
      <c r="F39" t="str">
        <f t="shared" si="4"/>
        <v>10</v>
      </c>
      <c r="G39">
        <f t="shared" si="6"/>
        <v>8</v>
      </c>
      <c r="H39">
        <f t="shared" si="6"/>
        <v>16</v>
      </c>
      <c r="P39" t="s">
        <v>39</v>
      </c>
    </row>
    <row r="40" spans="2:16" x14ac:dyDescent="0.25">
      <c r="B40" t="s">
        <v>81</v>
      </c>
      <c r="C40" t="s">
        <v>39</v>
      </c>
      <c r="D40" t="str">
        <f t="shared" si="3"/>
        <v>00000000</v>
      </c>
      <c r="E40" t="str">
        <f t="shared" si="4"/>
        <v>00</v>
      </c>
      <c r="F40" t="str">
        <f t="shared" si="4"/>
        <v>00</v>
      </c>
      <c r="G40">
        <f t="shared" si="6"/>
        <v>0</v>
      </c>
      <c r="H40">
        <f t="shared" si="6"/>
        <v>0</v>
      </c>
      <c r="P40" t="s">
        <v>76</v>
      </c>
    </row>
    <row r="41" spans="2:16" x14ac:dyDescent="0.25">
      <c r="B41" t="s">
        <v>82</v>
      </c>
      <c r="C41" t="s">
        <v>76</v>
      </c>
      <c r="D41" t="str">
        <f t="shared" si="3"/>
        <v>00000001</v>
      </c>
      <c r="E41" t="str">
        <f t="shared" si="4"/>
        <v>80</v>
      </c>
      <c r="F41" t="str">
        <f t="shared" si="4"/>
        <v>01</v>
      </c>
      <c r="G41">
        <f t="shared" si="6"/>
        <v>128</v>
      </c>
      <c r="H41">
        <f t="shared" si="6"/>
        <v>1</v>
      </c>
      <c r="P41" t="s">
        <v>39</v>
      </c>
    </row>
    <row r="42" spans="2:16" x14ac:dyDescent="0.25">
      <c r="B42" t="s">
        <v>83</v>
      </c>
      <c r="C42" t="s">
        <v>39</v>
      </c>
      <c r="D42" t="str">
        <f t="shared" si="3"/>
        <v>00000000</v>
      </c>
      <c r="E42" t="str">
        <f t="shared" si="4"/>
        <v>00</v>
      </c>
      <c r="F42" t="str">
        <f t="shared" si="4"/>
        <v>00</v>
      </c>
      <c r="G42">
        <f t="shared" si="6"/>
        <v>0</v>
      </c>
      <c r="H42">
        <f t="shared" si="6"/>
        <v>0</v>
      </c>
      <c r="P42" t="s">
        <v>71</v>
      </c>
    </row>
    <row r="43" spans="2:16" x14ac:dyDescent="0.25">
      <c r="B43" t="s">
        <v>84</v>
      </c>
      <c r="C43" t="s">
        <v>71</v>
      </c>
      <c r="D43" t="str">
        <f t="shared" si="3"/>
        <v>00000110</v>
      </c>
      <c r="E43" t="str">
        <f t="shared" si="4"/>
        <v>60</v>
      </c>
      <c r="F43" t="str">
        <f t="shared" si="4"/>
        <v>06</v>
      </c>
      <c r="G43">
        <f t="shared" si="6"/>
        <v>96</v>
      </c>
      <c r="H43">
        <f t="shared" si="6"/>
        <v>6</v>
      </c>
      <c r="I43">
        <f>SUM(G26:G43)</f>
        <v>668</v>
      </c>
      <c r="J43">
        <f>SUM(H26:H43)</f>
        <v>880</v>
      </c>
      <c r="P43" t="s">
        <v>90</v>
      </c>
    </row>
    <row r="44" spans="2:16" x14ac:dyDescent="0.25">
      <c r="B44" t="s">
        <v>85</v>
      </c>
      <c r="C44" t="s">
        <v>90</v>
      </c>
      <c r="D44" t="str">
        <f t="shared" si="3"/>
        <v>01110000</v>
      </c>
      <c r="E44" t="str">
        <f t="shared" si="4"/>
        <v>0E</v>
      </c>
      <c r="F44" t="str">
        <f t="shared" si="4"/>
        <v>70</v>
      </c>
      <c r="G44">
        <f t="shared" si="6"/>
        <v>14</v>
      </c>
      <c r="H44">
        <f t="shared" si="6"/>
        <v>112</v>
      </c>
      <c r="I44" t="str">
        <f>DEC2HEX(I43,4)</f>
        <v>029C</v>
      </c>
      <c r="J44" t="str">
        <f>DEC2HEX(J43,4)</f>
        <v>0370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Feuil1</vt:lpstr>
      <vt:lpstr>Feuil2</vt:lpstr>
      <vt:lpstr>Feuil3</vt:lpstr>
      <vt:lpstr>Feuil4</vt:lpstr>
      <vt:lpstr>Feuil5</vt:lpstr>
      <vt:lpstr>Feuil5 (2)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Vincent CRUVELLIER</dc:creator>
  <cp:lastModifiedBy>Vincent CRUVELLIER</cp:lastModifiedBy>
  <cp:lastPrinted>2014-11-18T19:35:55Z</cp:lastPrinted>
  <dcterms:created xsi:type="dcterms:W3CDTF">2014-11-13T20:47:08Z</dcterms:created>
  <dcterms:modified xsi:type="dcterms:W3CDTF">2014-11-22T19:51:20Z</dcterms:modified>
</cp:coreProperties>
</file>